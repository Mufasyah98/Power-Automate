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ve Requests" sheetId="1" state="visible" r:id="rId3"/>
    <sheet name="Invoice Records" sheetId="2" state="visible" r:id="rId4"/>
    <sheet name="IT Helpdesk Tickets" sheetId="3" state="visible" r:id="rId5"/>
    <sheet name="Purchase Requests" sheetId="4" state="visible" r:id="rId6"/>
    <sheet name="Lab Exercise Log" sheetId="5" state="visible" r:id="rId7"/>
    <sheet name="Expressions Cheat Sheet" sheetId="6" state="visible" r:id="rId8"/>
    <sheet name="Flow Design Template" sheetId="7" state="visible" r:id="rId9"/>
    <sheet name="Quiz Answer Shee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<sst xmlns="http://schemas.openxmlformats.org/spreadsheetml/2006/main" count="738" uniqueCount="563">
  <si>
    <t xml:space="preserve">EMPLOYEE LEAVE REQUEST TRACKER</t>
  </si>
  <si>
    <t xml:space="preserve">Power Automate Training Dataset | Dr. Fakhrul Syahmi | mufasyahcons@gmail.com</t>
  </si>
  <si>
    <t xml:space="preserve">Request ID</t>
  </si>
  <si>
    <t xml:space="preserve">Employee Name</t>
  </si>
  <si>
    <t xml:space="preserve">Employee Email</t>
  </si>
  <si>
    <t xml:space="preserve">Department</t>
  </si>
  <si>
    <t xml:space="preserve">Leave Type</t>
  </si>
  <si>
    <t xml:space="preserve">Start Date</t>
  </si>
  <si>
    <t xml:space="preserve">End Date</t>
  </si>
  <si>
    <t xml:space="preserve">Days</t>
  </si>
  <si>
    <t xml:space="preserve">Status</t>
  </si>
  <si>
    <t xml:space="preserve">Manager Email</t>
  </si>
  <si>
    <t xml:space="preserve">LV-001</t>
  </si>
  <si>
    <t xml:space="preserve">Ahmad Hafizi</t>
  </si>
  <si>
    <t xml:space="preserve">ahmad.hafizi@company.com</t>
  </si>
  <si>
    <t xml:space="preserve">Marketing</t>
  </si>
  <si>
    <t xml:space="preserve">Annual Leave</t>
  </si>
  <si>
    <t xml:space="preserve">02/06/2026</t>
  </si>
  <si>
    <t xml:space="preserve">06/06/2026</t>
  </si>
  <si>
    <t xml:space="preserve">Pending</t>
  </si>
  <si>
    <t xml:space="preserve">manager.marketing@company.com</t>
  </si>
  <si>
    <t xml:space="preserve">LV-002</t>
  </si>
  <si>
    <t xml:space="preserve">Nur Aini Rashid</t>
  </si>
  <si>
    <t xml:space="preserve">nuraini@company.com</t>
  </si>
  <si>
    <t xml:space="preserve">Finance</t>
  </si>
  <si>
    <t xml:space="preserve">Medical Leave</t>
  </si>
  <si>
    <t xml:space="preserve">10/06/2026</t>
  </si>
  <si>
    <t xml:space="preserve">11/06/2026</t>
  </si>
  <si>
    <t xml:space="preserve">Approved</t>
  </si>
  <si>
    <t xml:space="preserve">manager.finance@company.com</t>
  </si>
  <si>
    <t xml:space="preserve">LV-003</t>
  </si>
  <si>
    <t xml:space="preserve">Rajesh Kumar</t>
  </si>
  <si>
    <t xml:space="preserve">rajesh@company.com</t>
  </si>
  <si>
    <t xml:space="preserve">IT</t>
  </si>
  <si>
    <t xml:space="preserve">15/06/2026</t>
  </si>
  <si>
    <t xml:space="preserve">19/06/2026</t>
  </si>
  <si>
    <t xml:space="preserve">manager.it@company.com</t>
  </si>
  <si>
    <t xml:space="preserve">LV-004</t>
  </si>
  <si>
    <t xml:space="preserve">Siti Aisyah Lim</t>
  </si>
  <si>
    <t xml:space="preserve">sitiaisyah@company.com</t>
  </si>
  <si>
    <t xml:space="preserve">HR</t>
  </si>
  <si>
    <t xml:space="preserve">Emergency Leave</t>
  </si>
  <si>
    <t xml:space="preserve">03/06/2026</t>
  </si>
  <si>
    <t xml:space="preserve">manager.hr@company.com</t>
  </si>
  <si>
    <t xml:space="preserve">LV-005</t>
  </si>
  <si>
    <t xml:space="preserve">Farizul Hakim</t>
  </si>
  <si>
    <t xml:space="preserve">farizul@company.com</t>
  </si>
  <si>
    <t xml:space="preserve">Operations</t>
  </si>
  <si>
    <t xml:space="preserve">20/06/2026</t>
  </si>
  <si>
    <t xml:space="preserve">27/06/2026</t>
  </si>
  <si>
    <t xml:space="preserve">manager.ops@company.com</t>
  </si>
  <si>
    <t xml:space="preserve">LV-006</t>
  </si>
  <si>
    <t xml:space="preserve">Priya Devi</t>
  </si>
  <si>
    <t xml:space="preserve">priya@company.com</t>
  </si>
  <si>
    <t xml:space="preserve">Sales</t>
  </si>
  <si>
    <t xml:space="preserve">05/06/2026</t>
  </si>
  <si>
    <t xml:space="preserve">Rejected</t>
  </si>
  <si>
    <t xml:space="preserve">manager.sales@company.com</t>
  </si>
  <si>
    <t xml:space="preserve">LV-007</t>
  </si>
  <si>
    <t xml:space="preserve">Lee Weng Keong</t>
  </si>
  <si>
    <t xml:space="preserve">leewk@company.com</t>
  </si>
  <si>
    <t xml:space="preserve">01/07/2026</t>
  </si>
  <si>
    <t xml:space="preserve">05/07/2026</t>
  </si>
  <si>
    <t xml:space="preserve">LV-008</t>
  </si>
  <si>
    <t xml:space="preserve">Zulaikha Othman</t>
  </si>
  <si>
    <t xml:space="preserve">zulaikha@company.com</t>
  </si>
  <si>
    <t xml:space="preserve">Customer Service</t>
  </si>
  <si>
    <t xml:space="preserve">Maternity Leave</t>
  </si>
  <si>
    <t xml:space="preserve">01/08/2026</t>
  </si>
  <si>
    <t xml:space="preserve">28/10/2026</t>
  </si>
  <si>
    <t xml:space="preserve">manager.cs@company.com</t>
  </si>
  <si>
    <t xml:space="preserve">LV-009</t>
  </si>
  <si>
    <t xml:space="preserve">Mohd Amirul</t>
  </si>
  <si>
    <t xml:space="preserve">amirul@company.com</t>
  </si>
  <si>
    <t xml:space="preserve">10/07/2026</t>
  </si>
  <si>
    <t xml:space="preserve">14/07/2026</t>
  </si>
  <si>
    <t xml:space="preserve">LV-010</t>
  </si>
  <si>
    <t xml:space="preserve">Kavitha Nair</t>
  </si>
  <si>
    <t xml:space="preserve">kavitha@company.com</t>
  </si>
  <si>
    <t xml:space="preserve">Admin</t>
  </si>
  <si>
    <t xml:space="preserve">15/07/2026</t>
  </si>
  <si>
    <t xml:space="preserve">16/07/2026</t>
  </si>
  <si>
    <t xml:space="preserve">manager.admin@company.com</t>
  </si>
  <si>
    <t xml:space="preserve">LV-011</t>
  </si>
  <si>
    <t xml:space="preserve">Azri Hamdan</t>
  </si>
  <si>
    <t xml:space="preserve">azri@company.com</t>
  </si>
  <si>
    <t xml:space="preserve">22/07/2026</t>
  </si>
  <si>
    <t xml:space="preserve">26/07/2026</t>
  </si>
  <si>
    <t xml:space="preserve">LV-012</t>
  </si>
  <si>
    <t xml:space="preserve">Tan Mei Lin</t>
  </si>
  <si>
    <t xml:space="preserve">tanml@company.com</t>
  </si>
  <si>
    <t xml:space="preserve">08/07/2026</t>
  </si>
  <si>
    <t xml:space="preserve">TOTAL LEAVE DAYS</t>
  </si>
  <si>
    <t xml:space="preserve">INVOICE PROCESSING TRACKER</t>
  </si>
  <si>
    <t xml:space="preserve">Invoice No.</t>
  </si>
  <si>
    <t xml:space="preserve">Vendor Name</t>
  </si>
  <si>
    <t xml:space="preserve">Vendor Email</t>
  </si>
  <si>
    <t xml:space="preserve">Amount (RM)</t>
  </si>
  <si>
    <t xml:space="preserve">Invoice Date</t>
  </si>
  <si>
    <t xml:space="preserve">Due Date</t>
  </si>
  <si>
    <t xml:space="preserve">Approved By</t>
  </si>
  <si>
    <t xml:space="preserve">Notes</t>
  </si>
  <si>
    <t xml:space="preserve">INV-2026-001</t>
  </si>
  <si>
    <t xml:space="preserve">TechSupply Sdn Bhd</t>
  </si>
  <si>
    <t xml:space="preserve">billing@techsupply.com</t>
  </si>
  <si>
    <t xml:space="preserve">01/05/2026</t>
  </si>
  <si>
    <t xml:space="preserve">31/05/2026</t>
  </si>
  <si>
    <t xml:space="preserve">Server hardware</t>
  </si>
  <si>
    <t xml:space="preserve">INV-2026-002</t>
  </si>
  <si>
    <t xml:space="preserve">Office Pro Resources</t>
  </si>
  <si>
    <t xml:space="preserve">invoice@officepro.com</t>
  </si>
  <si>
    <t xml:space="preserve">05/05/2026</t>
  </si>
  <si>
    <t xml:space="preserve">04/06/2026</t>
  </si>
  <si>
    <t xml:space="preserve">Finance Manager</t>
  </si>
  <si>
    <t xml:space="preserve">Office stationery Q2</t>
  </si>
  <si>
    <t xml:space="preserve">INV-2026-003</t>
  </si>
  <si>
    <t xml:space="preserve">CleanServices Bhd</t>
  </si>
  <si>
    <t xml:space="preserve">accounts@cleanservices.com</t>
  </si>
  <si>
    <t xml:space="preserve">Facilities</t>
  </si>
  <si>
    <t xml:space="preserve">Monthly cleaning</t>
  </si>
  <si>
    <t xml:space="preserve">INV-2026-004</t>
  </si>
  <si>
    <t xml:space="preserve">Mega Print Sdn Bhd</t>
  </si>
  <si>
    <t xml:space="preserve">billing@megaprint.com</t>
  </si>
  <si>
    <t xml:space="preserve">10/05/2026</t>
  </si>
  <si>
    <t xml:space="preserve">09/06/2026</t>
  </si>
  <si>
    <t xml:space="preserve">Brochure printing Q2</t>
  </si>
  <si>
    <t xml:space="preserve">INV-2026-005</t>
  </si>
  <si>
    <t xml:space="preserve">DataCenter Pro Bhd</t>
  </si>
  <si>
    <t xml:space="preserve">invoice@datacenter.com</t>
  </si>
  <si>
    <t xml:space="preserve">31/07/2026</t>
  </si>
  <si>
    <t xml:space="preserve">Cloud hosting Q2</t>
  </si>
  <si>
    <t xml:space="preserve">INV-2026-006</t>
  </si>
  <si>
    <t xml:space="preserve">Security Shield Bhd</t>
  </si>
  <si>
    <t xml:space="preserve">billing@securityshield.com</t>
  </si>
  <si>
    <t xml:space="preserve">Security</t>
  </si>
  <si>
    <t xml:space="preserve">Guard services</t>
  </si>
  <si>
    <t xml:space="preserve">INV-2026-007</t>
  </si>
  <si>
    <t xml:space="preserve">Legal Partners LLP</t>
  </si>
  <si>
    <t xml:space="preserve">accounts@legalpartners.com</t>
  </si>
  <si>
    <t xml:space="preserve">Legal</t>
  </si>
  <si>
    <t xml:space="preserve">15/05/2026</t>
  </si>
  <si>
    <t xml:space="preserve">14/06/2026</t>
  </si>
  <si>
    <t xml:space="preserve">Legal retainer</t>
  </si>
  <si>
    <t xml:space="preserve">INV-2026-008</t>
  </si>
  <si>
    <t xml:space="preserve">Training Academy</t>
  </si>
  <si>
    <t xml:space="preserve">billing@trainingacademy.com</t>
  </si>
  <si>
    <t xml:space="preserve">20/05/2026</t>
  </si>
  <si>
    <t xml:space="preserve">CFO</t>
  </si>
  <si>
    <t xml:space="preserve">Power Automate training</t>
  </si>
  <si>
    <t xml:space="preserve">INV-2026-009</t>
  </si>
  <si>
    <t xml:space="preserve">Logistics Plus Bhd</t>
  </si>
  <si>
    <t xml:space="preserve">invoice@logisticsplus.com</t>
  </si>
  <si>
    <t xml:space="preserve">22/05/2026</t>
  </si>
  <si>
    <t xml:space="preserve">21/06/2026</t>
  </si>
  <si>
    <t xml:space="preserve">Courier services</t>
  </si>
  <si>
    <t xml:space="preserve">INV-2026-010</t>
  </si>
  <si>
    <t xml:space="preserve">Creative Agency Co</t>
  </si>
  <si>
    <t xml:space="preserve">billing@creativeagency.com</t>
  </si>
  <si>
    <t xml:space="preserve">25/05/2026</t>
  </si>
  <si>
    <t xml:space="preserve">24/06/2026</t>
  </si>
  <si>
    <t xml:space="preserve">Brand campaign Q2</t>
  </si>
  <si>
    <t xml:space="preserve">TOTAL INVOICE VALUE</t>
  </si>
  <si>
    <t xml:space="preserve">IT HELPDESK SERVICE TICKET LOG</t>
  </si>
  <si>
    <t xml:space="preserve">Ticket ID</t>
  </si>
  <si>
    <t xml:space="preserve">Requestor Name</t>
  </si>
  <si>
    <t xml:space="preserve">Requestor Email</t>
  </si>
  <si>
    <t xml:space="preserve">Issue Description</t>
  </si>
  <si>
    <t xml:space="preserve">Category</t>
  </si>
  <si>
    <t xml:space="preserve">Priority</t>
  </si>
  <si>
    <t xml:space="preserve">Assigned To</t>
  </si>
  <si>
    <t xml:space="preserve">Date Logged</t>
  </si>
  <si>
    <t xml:space="preserve">SLA (hrs)</t>
  </si>
  <si>
    <t xml:space="preserve">TKT-001</t>
  </si>
  <si>
    <t xml:space="preserve">Aminah Salleh</t>
  </si>
  <si>
    <t xml:space="preserve">aminah@company.com</t>
  </si>
  <si>
    <t xml:space="preserve">Cannot login to email</t>
  </si>
  <si>
    <t xml:space="preserve">Software</t>
  </si>
  <si>
    <t xml:space="preserve">High</t>
  </si>
  <si>
    <t xml:space="preserve">Open</t>
  </si>
  <si>
    <t xml:space="preserve">IT Support - Ali</t>
  </si>
  <si>
    <t xml:space="preserve">01/06/2026 08:15</t>
  </si>
  <si>
    <t xml:space="preserve">TKT-002</t>
  </si>
  <si>
    <t xml:space="preserve">Brandon Tan</t>
  </si>
  <si>
    <t xml:space="preserve">brandon@company.com</t>
  </si>
  <si>
    <t xml:space="preserve">Laptop screen flickering</t>
  </si>
  <si>
    <t xml:space="preserve">Hardware</t>
  </si>
  <si>
    <t xml:space="preserve">Medium</t>
  </si>
  <si>
    <t xml:space="preserve">In Progress</t>
  </si>
  <si>
    <t xml:space="preserve">IT Support - Raj</t>
  </si>
  <si>
    <t xml:space="preserve">01/06/2026 09:30</t>
  </si>
  <si>
    <t xml:space="preserve">TKT-003</t>
  </si>
  <si>
    <t xml:space="preserve">Chua Li Ming</t>
  </si>
  <si>
    <t xml:space="preserve">chuaml@company.com</t>
  </si>
  <si>
    <t xml:space="preserve">VPN connection failed</t>
  </si>
  <si>
    <t xml:space="preserve">Network</t>
  </si>
  <si>
    <t xml:space="preserve">Resolved</t>
  </si>
  <si>
    <t xml:space="preserve">01/06/2026 10:00</t>
  </si>
  <si>
    <t xml:space="preserve">TKT-004</t>
  </si>
  <si>
    <t xml:space="preserve">Deepa Nair</t>
  </si>
  <si>
    <t xml:space="preserve">deepa@company.com</t>
  </si>
  <si>
    <t xml:space="preserve">Software installation request</t>
  </si>
  <si>
    <t xml:space="preserve">Low</t>
  </si>
  <si>
    <t xml:space="preserve">02/06/2026 08:45</t>
  </si>
  <si>
    <t xml:space="preserve">TKT-005</t>
  </si>
  <si>
    <t xml:space="preserve">Ezzat Roslan</t>
  </si>
  <si>
    <t xml:space="preserve">ezzat@company.com</t>
  </si>
  <si>
    <t xml:space="preserve">Printer not responding</t>
  </si>
  <si>
    <t xml:space="preserve">IT Support - Zul</t>
  </si>
  <si>
    <t xml:space="preserve">02/06/2026 09:00</t>
  </si>
  <si>
    <t xml:space="preserve">TKT-006</t>
  </si>
  <si>
    <t xml:space="preserve">Fatimah Yusuf</t>
  </si>
  <si>
    <t xml:space="preserve">fatimah@company.com</t>
  </si>
  <si>
    <t xml:space="preserve">SharePoint access request</t>
  </si>
  <si>
    <t xml:space="preserve">Access</t>
  </si>
  <si>
    <t xml:space="preserve">IT Admin - Hana</t>
  </si>
  <si>
    <t xml:space="preserve">02/06/2026 11:00</t>
  </si>
  <si>
    <t xml:space="preserve">TKT-007</t>
  </si>
  <si>
    <t xml:space="preserve">George Lim</t>
  </si>
  <si>
    <t xml:space="preserve">georgelim@company.com</t>
  </si>
  <si>
    <t xml:space="preserve">Outlook keeps crashing</t>
  </si>
  <si>
    <t xml:space="preserve">03/06/2026 08:00</t>
  </si>
  <si>
    <t xml:space="preserve">TKT-008</t>
  </si>
  <si>
    <t xml:space="preserve">Haslinda Bakar</t>
  </si>
  <si>
    <t xml:space="preserve">haslinda@company.com</t>
  </si>
  <si>
    <t xml:space="preserve">New laptop setup required</t>
  </si>
  <si>
    <t xml:space="preserve">03/06/2026 09:30</t>
  </si>
  <si>
    <t xml:space="preserve">TKT-009</t>
  </si>
  <si>
    <t xml:space="preserve">Irwan Malik</t>
  </si>
  <si>
    <t xml:space="preserve">irwan@company.com</t>
  </si>
  <si>
    <t xml:space="preserve">Teams video not working</t>
  </si>
  <si>
    <t xml:space="preserve">03/06/2026 10:15</t>
  </si>
  <si>
    <t xml:space="preserve">TKT-010</t>
  </si>
  <si>
    <t xml:space="preserve">Jamilah Hamid</t>
  </si>
  <si>
    <t xml:space="preserve">jamilah@company.com</t>
  </si>
  <si>
    <t xml:space="preserve">Password reset required</t>
  </si>
  <si>
    <t xml:space="preserve">03/06/2026 07:50</t>
  </si>
  <si>
    <t xml:space="preserve">TKT-011</t>
  </si>
  <si>
    <t xml:space="preserve">Kevin Wong</t>
  </si>
  <si>
    <t xml:space="preserve">kevinw@company.com</t>
  </si>
  <si>
    <t xml:space="preserve">Excel file corrupted</t>
  </si>
  <si>
    <t xml:space="preserve">04/06/2026 08:30</t>
  </si>
  <si>
    <t xml:space="preserve">TKT-012</t>
  </si>
  <si>
    <t xml:space="preserve">Lina Aziz</t>
  </si>
  <si>
    <t xml:space="preserve">linaaziz@company.com</t>
  </si>
  <si>
    <t xml:space="preserve">Internet connection slow</t>
  </si>
  <si>
    <t xml:space="preserve">04/06/2026 09:00</t>
  </si>
  <si>
    <t xml:space="preserve">PURCHASE REQUEST TRACKER</t>
  </si>
  <si>
    <t xml:space="preserve">PR No.</t>
  </si>
  <si>
    <t xml:space="preserve">Requestor</t>
  </si>
  <si>
    <t xml:space="preserve">Email</t>
  </si>
  <si>
    <t xml:space="preserve">Item Description</t>
  </si>
  <si>
    <t xml:space="preserve">Qty</t>
  </si>
  <si>
    <t xml:space="preserve">Unit Price (RM)</t>
  </si>
  <si>
    <t xml:space="preserve">Total (RM)</t>
  </si>
  <si>
    <t xml:space="preserve">Approval Level</t>
  </si>
  <si>
    <t xml:space="preserve">PR-2026-001</t>
  </si>
  <si>
    <t xml:space="preserve">Ahmad Faris</t>
  </si>
  <si>
    <t xml:space="preserve">ahmadfaris@company.com</t>
  </si>
  <si>
    <t xml:space="preserve">Office chairs</t>
  </si>
  <si>
    <t xml:space="preserve">Level 2</t>
  </si>
  <si>
    <t xml:space="preserve">PR-2026-002</t>
  </si>
  <si>
    <t xml:space="preserve">Nora Ibrahim</t>
  </si>
  <si>
    <t xml:space="preserve">nora@company.com</t>
  </si>
  <si>
    <t xml:space="preserve">Pull-up banners</t>
  </si>
  <si>
    <t xml:space="preserve">Level 1</t>
  </si>
  <si>
    <t xml:space="preserve">PR-2026-003</t>
  </si>
  <si>
    <t xml:space="preserve">Raj Subramaniam</t>
  </si>
  <si>
    <t xml:space="preserve">raj@company.com</t>
  </si>
  <si>
    <t xml:space="preserve">Network switches</t>
  </si>
  <si>
    <t xml:space="preserve">Level 3</t>
  </si>
  <si>
    <t xml:space="preserve">PR-2026-004</t>
  </si>
  <si>
    <t xml:space="preserve">Maisarah Amin</t>
  </si>
  <si>
    <t xml:space="preserve">maisarah@company.com</t>
  </si>
  <si>
    <t xml:space="preserve">Safety helmets</t>
  </si>
  <si>
    <t xml:space="preserve">PR-2026-005</t>
  </si>
  <si>
    <t xml:space="preserve">Financial software</t>
  </si>
  <si>
    <t xml:space="preserve">PR-2026-006</t>
  </si>
  <si>
    <t xml:space="preserve">Siti Nur</t>
  </si>
  <si>
    <t xml:space="preserve">sitinur@company.com</t>
  </si>
  <si>
    <t xml:space="preserve">Pantry supplies</t>
  </si>
  <si>
    <t xml:space="preserve">PR-2026-007</t>
  </si>
  <si>
    <t xml:space="preserve">Hazrul Nizam</t>
  </si>
  <si>
    <t xml:space="preserve">hazrul@company.com</t>
  </si>
  <si>
    <t xml:space="preserve">CRM system addon</t>
  </si>
  <si>
    <t xml:space="preserve">PR-2026-008</t>
  </si>
  <si>
    <t xml:space="preserve">Farah Hanum</t>
  </si>
  <si>
    <t xml:space="preserve">farah@company.com</t>
  </si>
  <si>
    <t xml:space="preserve">Training materials</t>
  </si>
  <si>
    <t xml:space="preserve">PR-2026-009</t>
  </si>
  <si>
    <t xml:space="preserve">Daniel Yap</t>
  </si>
  <si>
    <t xml:space="preserve">danielyap@company.com</t>
  </si>
  <si>
    <t xml:space="preserve">USB hubs</t>
  </si>
  <si>
    <t xml:space="preserve">PR-2026-010</t>
  </si>
  <si>
    <t xml:space="preserve">Suraya Malik</t>
  </si>
  <si>
    <t xml:space="preserve">suraya@company.com</t>
  </si>
  <si>
    <t xml:space="preserve">Merchandise items</t>
  </si>
  <si>
    <t xml:space="preserve">TOTAL PURCHASE VALUE</t>
  </si>
  <si>
    <t xml:space="preserve">PARTICIPANT LAB EXERCISE TRACKER</t>
  </si>
  <si>
    <t xml:space="preserve">Power Automate Training | Dr. Fakhrul Syahmi | mufasyahcons@gmail.com</t>
  </si>
  <si>
    <t xml:space="preserve">Lab No.</t>
  </si>
  <si>
    <t xml:space="preserve">Lab Title</t>
  </si>
  <si>
    <t xml:space="preserve">Participant Name</t>
  </si>
  <si>
    <t xml:space="preserve">Flow Built?</t>
  </si>
  <si>
    <t xml:space="preserve">Flow Tested?</t>
  </si>
  <si>
    <t xml:space="preserve">Run Status</t>
  </si>
  <si>
    <t xml:space="preserve">Errors Found</t>
  </si>
  <si>
    <t xml:space="preserve">Resolved?</t>
  </si>
  <si>
    <t xml:space="preserve">Score /10</t>
  </si>
  <si>
    <t xml:space="preserve">Lab 1</t>
  </si>
  <si>
    <t xml:space="preserve">Auto-Save Email Attachments</t>
  </si>
  <si>
    <t xml:space="preserve">Lab 2</t>
  </si>
  <si>
    <t xml:space="preserve">Leave Approval Automation</t>
  </si>
  <si>
    <t xml:space="preserve">Lab 3</t>
  </si>
  <si>
    <t xml:space="preserve">Teams Notification Flow</t>
  </si>
  <si>
    <t xml:space="preserve">Lab 4</t>
  </si>
  <si>
    <t xml:space="preserve">SharePoint Approval Process</t>
  </si>
  <si>
    <t xml:space="preserve">Lab 5</t>
  </si>
  <si>
    <t xml:space="preserve">Excel Data Update Automation</t>
  </si>
  <si>
    <t xml:space="preserve">Lab 6</t>
  </si>
  <si>
    <t xml:space="preserve">Reminder Automation</t>
  </si>
  <si>
    <t xml:space="preserve">Lab 7</t>
  </si>
  <si>
    <t xml:space="preserve">Invoice Approval Automation</t>
  </si>
  <si>
    <t xml:space="preserve">Lab 8</t>
  </si>
  <si>
    <t xml:space="preserve">Employee Onboarding Workflow</t>
  </si>
  <si>
    <t xml:space="preserve">Lab 9</t>
  </si>
  <si>
    <t xml:space="preserve">AI Email Classification Flow</t>
  </si>
  <si>
    <t xml:space="preserve">POWER AUTOMATE EXPRESSIONS QUICK REFERENCE</t>
  </si>
  <si>
    <t xml:space="preserve">Function</t>
  </si>
  <si>
    <t xml:space="preserve">Syntax Example</t>
  </si>
  <si>
    <t xml:space="preserve">Result</t>
  </si>
  <si>
    <t xml:space="preserve">Common Use Case</t>
  </si>
  <si>
    <t xml:space="preserve">String</t>
  </si>
  <si>
    <t xml:space="preserve">concat()</t>
  </si>
  <si>
    <t xml:space="preserve">concat('Hello ',' World')</t>
  </si>
  <si>
    <t xml:space="preserve">'Hello World'</t>
  </si>
  <si>
    <t xml:space="preserve">Join text values together</t>
  </si>
  <si>
    <t xml:space="preserve">toUpper()</t>
  </si>
  <si>
    <t xml:space="preserve">toUpper('hello')</t>
  </si>
  <si>
    <t xml:space="preserve">'HELLO'</t>
  </si>
  <si>
    <t xml:space="preserve">Convert to uppercase</t>
  </si>
  <si>
    <t xml:space="preserve">toLower()</t>
  </si>
  <si>
    <t xml:space="preserve">toLower('HELLO')</t>
  </si>
  <si>
    <t xml:space="preserve">'hello'</t>
  </si>
  <si>
    <t xml:space="preserve">Convert to lowercase</t>
  </si>
  <si>
    <t xml:space="preserve">substring()</t>
  </si>
  <si>
    <t xml:space="preserve">substring('Invoice-2026',8,4)</t>
  </si>
  <si>
    <t xml:space="preserve">'2026'</t>
  </si>
  <si>
    <t xml:space="preserve">Extract part of a string</t>
  </si>
  <si>
    <t xml:space="preserve">replace()</t>
  </si>
  <si>
    <t xml:space="preserve">replace('AB-001','AB','CD')</t>
  </si>
  <si>
    <t xml:space="preserve">'CD-001'</t>
  </si>
  <si>
    <t xml:space="preserve">Replace text in string</t>
  </si>
  <si>
    <t xml:space="preserve">trim()</t>
  </si>
  <si>
    <t xml:space="preserve">trim('  hello  ')</t>
  </si>
  <si>
    <t xml:space="preserve">Remove leading/trailing spaces</t>
  </si>
  <si>
    <t xml:space="preserve">length()</t>
  </si>
  <si>
    <t xml:space="preserve">length('Hello')</t>
  </si>
  <si>
    <t xml:space="preserve">5</t>
  </si>
  <si>
    <t xml:space="preserve">Count characters in string</t>
  </si>
  <si>
    <t xml:space="preserve">split()</t>
  </si>
  <si>
    <t xml:space="preserve">split('A,B,C',',')</t>
  </si>
  <si>
    <t xml:space="preserve">['A','B','C']</t>
  </si>
  <si>
    <t xml:space="preserve">Split string into array</t>
  </si>
  <si>
    <t xml:space="preserve">Date</t>
  </si>
  <si>
    <t xml:space="preserve">utcNow()</t>
  </si>
  <si>
    <t xml:space="preserve">Current UTC datetime</t>
  </si>
  <si>
    <t xml:space="preserve">Get current date and time</t>
  </si>
  <si>
    <t xml:space="preserve">formatDateTime()</t>
  </si>
  <si>
    <t xml:space="preserve">formatDateTime(utcNow(),'dd/MM/yyyy')</t>
  </si>
  <si>
    <t xml:space="preserve">'10/05/2026'</t>
  </si>
  <si>
    <t xml:space="preserve">Format date to readable string</t>
  </si>
  <si>
    <t xml:space="preserve">addDays()</t>
  </si>
  <si>
    <t xml:space="preserve">addDays(utcNow(),7)</t>
  </si>
  <si>
    <t xml:space="preserve">7 days from now</t>
  </si>
  <si>
    <t xml:space="preserve">Add days to a date</t>
  </si>
  <si>
    <t xml:space="preserve">addHours()</t>
  </si>
  <si>
    <t xml:space="preserve">addHours(utcNow(),2)</t>
  </si>
  <si>
    <t xml:space="preserve">2 hours from now</t>
  </si>
  <si>
    <t xml:space="preserve">Add hours to a datetime</t>
  </si>
  <si>
    <t xml:space="preserve">dayOfWeek()</t>
  </si>
  <si>
    <t xml:space="preserve">dayOfWeek(utcNow())</t>
  </si>
  <si>
    <t xml:space="preserve">0 = Sunday</t>
  </si>
  <si>
    <t xml:space="preserve">Get day number of week</t>
  </si>
  <si>
    <t xml:space="preserve">startOfDay()</t>
  </si>
  <si>
    <t xml:space="preserve">startOfDay(utcNow())</t>
  </si>
  <si>
    <t xml:space="preserve">Today at 00:00:00</t>
  </si>
  <si>
    <t xml:space="preserve">Get start of current day</t>
  </si>
  <si>
    <t xml:space="preserve">Math</t>
  </si>
  <si>
    <t xml:space="preserve">add()</t>
  </si>
  <si>
    <t xml:space="preserve">add(5,3)</t>
  </si>
  <si>
    <t xml:space="preserve">8</t>
  </si>
  <si>
    <t xml:space="preserve">Add two numbers</t>
  </si>
  <si>
    <t xml:space="preserve">sub()</t>
  </si>
  <si>
    <t xml:space="preserve">sub(10,3)</t>
  </si>
  <si>
    <t xml:space="preserve">7</t>
  </si>
  <si>
    <t xml:space="preserve">Subtract two numbers</t>
  </si>
  <si>
    <t xml:space="preserve">mul()</t>
  </si>
  <si>
    <t xml:space="preserve">mul(4,5)</t>
  </si>
  <si>
    <t xml:space="preserve">20</t>
  </si>
  <si>
    <t xml:space="preserve">Multiply two numbers</t>
  </si>
  <si>
    <t xml:space="preserve">div()</t>
  </si>
  <si>
    <t xml:space="preserve">div(10,2)</t>
  </si>
  <si>
    <t xml:space="preserve">Divide two numbers</t>
  </si>
  <si>
    <t xml:space="preserve">mod()</t>
  </si>
  <si>
    <t xml:space="preserve">mod(7,2)</t>
  </si>
  <si>
    <t xml:space="preserve">1</t>
  </si>
  <si>
    <t xml:space="preserve">Get remainder of division</t>
  </si>
  <si>
    <t xml:space="preserve">max()</t>
  </si>
  <si>
    <t xml:space="preserve">max(10,20,5)</t>
  </si>
  <si>
    <t xml:space="preserve">Get maximum value</t>
  </si>
  <si>
    <t xml:space="preserve">min()</t>
  </si>
  <si>
    <t xml:space="preserve">min(10,20,5)</t>
  </si>
  <si>
    <t xml:space="preserve">Get minimum value</t>
  </si>
  <si>
    <t xml:space="preserve">Logic</t>
  </si>
  <si>
    <t xml:space="preserve">if()</t>
  </si>
  <si>
    <t xml:space="preserve">if(equals(x,5),'Yes','No')</t>
  </si>
  <si>
    <t xml:space="preserve">'Yes' or 'No'</t>
  </si>
  <si>
    <t xml:space="preserve">Conditional expression</t>
  </si>
  <si>
    <t xml:space="preserve">equals()</t>
  </si>
  <si>
    <t xml:space="preserve">equals(status,'Approved')</t>
  </si>
  <si>
    <t xml:space="preserve">true/false</t>
  </si>
  <si>
    <t xml:space="preserve">Check if two values are equal</t>
  </si>
  <si>
    <t xml:space="preserve">greater()</t>
  </si>
  <si>
    <t xml:space="preserve">greater(amount,1000)</t>
  </si>
  <si>
    <t xml:space="preserve">Check if a &gt; b</t>
  </si>
  <si>
    <t xml:space="preserve">less()</t>
  </si>
  <si>
    <t xml:space="preserve">less(amount,500)</t>
  </si>
  <si>
    <t xml:space="preserve">Check if a &lt; b</t>
  </si>
  <si>
    <t xml:space="preserve">and()</t>
  </si>
  <si>
    <t xml:space="preserve">and(greater(x,0),less(x,100))</t>
  </si>
  <si>
    <t xml:space="preserve">Both conditions must be true</t>
  </si>
  <si>
    <t xml:space="preserve">or()</t>
  </si>
  <si>
    <t xml:space="preserve">or(equals(x,1),equals(x,2))</t>
  </si>
  <si>
    <t xml:space="preserve">At least one condition true</t>
  </si>
  <si>
    <t xml:space="preserve">not()</t>
  </si>
  <si>
    <t xml:space="preserve">not(equals(x,'Done'))</t>
  </si>
  <si>
    <t xml:space="preserve">Reverse boolean result</t>
  </si>
  <si>
    <t xml:space="preserve">empty()</t>
  </si>
  <si>
    <t xml:space="preserve">empty(variables('name'))</t>
  </si>
  <si>
    <t xml:space="preserve">Check if value is empty/null</t>
  </si>
  <si>
    <t xml:space="preserve">Array</t>
  </si>
  <si>
    <t xml:space="preserve">length(variables('list'))</t>
  </si>
  <si>
    <t xml:space="preserve">Count items in array</t>
  </si>
  <si>
    <t xml:space="preserve">first()</t>
  </si>
  <si>
    <t xml:space="preserve">first(variables('list'))</t>
  </si>
  <si>
    <t xml:space="preserve">First item</t>
  </si>
  <si>
    <t xml:space="preserve">Get first item in array</t>
  </si>
  <si>
    <t xml:space="preserve">last()</t>
  </si>
  <si>
    <t xml:space="preserve">last(variables('list'))</t>
  </si>
  <si>
    <t xml:space="preserve">Last item</t>
  </si>
  <si>
    <t xml:space="preserve">Get last item in array</t>
  </si>
  <si>
    <t xml:space="preserve">join()</t>
  </si>
  <si>
    <t xml:space="preserve">join(variables('tags'),', ')</t>
  </si>
  <si>
    <t xml:space="preserve">'a, b, c'</t>
  </si>
  <si>
    <t xml:space="preserve">Join array items into string</t>
  </si>
  <si>
    <t xml:space="preserve">union()</t>
  </si>
  <si>
    <t xml:space="preserve">union(arr1,arr2)</t>
  </si>
  <si>
    <t xml:space="preserve">Combined array</t>
  </si>
  <si>
    <t xml:space="preserve">Combine two arrays</t>
  </si>
  <si>
    <t xml:space="preserve">Convert</t>
  </si>
  <si>
    <t xml:space="preserve">int()</t>
  </si>
  <si>
    <t xml:space="preserve">int('42')</t>
  </si>
  <si>
    <t xml:space="preserve">42</t>
  </si>
  <si>
    <t xml:space="preserve">Convert string to integer</t>
  </si>
  <si>
    <t xml:space="preserve">string()</t>
  </si>
  <si>
    <t xml:space="preserve">string(42)</t>
  </si>
  <si>
    <t xml:space="preserve">'42'</t>
  </si>
  <si>
    <t xml:space="preserve">Convert number to string</t>
  </si>
  <si>
    <t xml:space="preserve">float()</t>
  </si>
  <si>
    <t xml:space="preserve">float('3.14')</t>
  </si>
  <si>
    <t xml:space="preserve">3.14</t>
  </si>
  <si>
    <t xml:space="preserve">Convert string to float</t>
  </si>
  <si>
    <t xml:space="preserve">bool()</t>
  </si>
  <si>
    <t xml:space="preserve">bool('true')</t>
  </si>
  <si>
    <t xml:space="preserve">true</t>
  </si>
  <si>
    <t xml:space="preserve">Convert string to boolean</t>
  </si>
  <si>
    <t xml:space="preserve">FLOW DESIGN PLANNING TEMPLATE</t>
  </si>
  <si>
    <t xml:space="preserve">Use this sheet to plan your Power Automate flow before building it | Dr. Fakhrul Syahmi</t>
  </si>
  <si>
    <t xml:space="preserve">SECTION 1: FLOW IDENTIFICATION</t>
  </si>
  <si>
    <t xml:space="preserve">Flow Name:</t>
  </si>
  <si>
    <t xml:space="preserve">Department / Owner:</t>
  </si>
  <si>
    <t xml:space="preserve">Created By:</t>
  </si>
  <si>
    <t xml:space="preserve">Date:</t>
  </si>
  <si>
    <t xml:space="preserve">Business Purpose:</t>
  </si>
  <si>
    <t xml:space="preserve">SECTION 2: TRIGGER CONFIGURATION</t>
  </si>
  <si>
    <t xml:space="preserve">Trigger Type (Automated / Scheduled / Manual):</t>
  </si>
  <si>
    <t xml:space="preserve">Trigger App (e.g. Outlook, Forms, SharePoint):</t>
  </si>
  <si>
    <t xml:space="preserve">Trigger Event (e.g. When email arrives):</t>
  </si>
  <si>
    <t xml:space="preserve">Trigger Conditions / Filters:</t>
  </si>
  <si>
    <t xml:space="preserve">SECTION 3: ACTIONS PLAN</t>
  </si>
  <si>
    <t xml:space="preserve">Action 1:</t>
  </si>
  <si>
    <t xml:space="preserve">Action 2:</t>
  </si>
  <si>
    <t xml:space="preserve">Action 3:</t>
  </si>
  <si>
    <t xml:space="preserve">Action 4:</t>
  </si>
  <si>
    <t xml:space="preserve">Action 5:</t>
  </si>
  <si>
    <t xml:space="preserve">Action 6:</t>
  </si>
  <si>
    <t xml:space="preserve">Action 7:</t>
  </si>
  <si>
    <t xml:space="preserve">Action 8:</t>
  </si>
  <si>
    <t xml:space="preserve">SECTION 4: LOGIC (CONDITIONS / LOOPS)</t>
  </si>
  <si>
    <t xml:space="preserve">Condition 1 (IF):</t>
  </si>
  <si>
    <t xml:space="preserve">YES Branch Actions:</t>
  </si>
  <si>
    <t xml:space="preserve">NO Branch Actions:</t>
  </si>
  <si>
    <t xml:space="preserve">Loop Required? (Y/N) + Type:</t>
  </si>
  <si>
    <t xml:space="preserve">SECTION 5: VARIABLES NEEDED</t>
  </si>
  <si>
    <t xml:space="preserve">Variable 1 (Name | Type | Initial Value):</t>
  </si>
  <si>
    <t xml:space="preserve">Variable 2 (Name | Type | Initial Value):</t>
  </si>
  <si>
    <t xml:space="preserve">Variable 3 (Name | Type | Initial Value):</t>
  </si>
  <si>
    <t xml:space="preserve">Variable 4 (Name | Type | Initial Value):</t>
  </si>
  <si>
    <t xml:space="preserve">SECTION 6: ERROR HANDLING</t>
  </si>
  <si>
    <t xml:space="preserve">Error notification email:</t>
  </si>
  <si>
    <t xml:space="preserve">Scope / Run After configured? (Y/N):</t>
  </si>
  <si>
    <t xml:space="preserve">Retry policy:</t>
  </si>
  <si>
    <t xml:space="preserve">SECTION 7: TESTING PLAN</t>
  </si>
  <si>
    <t xml:space="preserve">Test Scenario 1:</t>
  </si>
  <si>
    <t xml:space="preserve">Test Scenario 2:</t>
  </si>
  <si>
    <t xml:space="preserve">Expected Outcome:</t>
  </si>
  <si>
    <t xml:space="preserve">Actual Outcome (after testing):</t>
  </si>
  <si>
    <t xml:space="preserve">POST-TRAINING QUIZ — ANSWER SHEET</t>
  </si>
  <si>
    <t xml:space="preserve">Q No.</t>
  </si>
  <si>
    <t xml:space="preserve">Question Summary</t>
  </si>
  <si>
    <t xml:space="preserve">Your Answer</t>
  </si>
  <si>
    <t xml:space="preserve">Correct Answer</t>
  </si>
  <si>
    <t xml:space="preserve">Power Automate is primarily used for:</t>
  </si>
  <si>
    <t xml:space="preserve">b) Workflow automation</t>
  </si>
  <si>
    <t xml:space="preserve">Which of these is a TRIGGER?</t>
  </si>
  <si>
    <t xml:space="preserve">c) When form submitted</t>
  </si>
  <si>
    <t xml:space="preserve">Dynamic content refers to:</t>
  </si>
  <si>
    <t xml:space="preserve">b) Real data from previous steps</t>
  </si>
  <si>
    <t xml:space="preserve">Expression to format date to dd/MM/yyyy:</t>
  </si>
  <si>
    <t xml:space="preserve">b) formatDateTime(utcNow(),'dd/MM/yyyy')</t>
  </si>
  <si>
    <t xml:space="preserve">'Apply to Each' is used to:</t>
  </si>
  <si>
    <t xml:space="preserve">c) Loop through array items</t>
  </si>
  <si>
    <t xml:space="preserve">Power Automate Desktop automates:</t>
  </si>
  <si>
    <t xml:space="preserve">b) Local computer tasks</t>
  </si>
  <si>
    <t xml:space="preserve">Which action sends a Teams channel message?</t>
  </si>
  <si>
    <t xml:space="preserve">b) Post a message in chat or channel</t>
  </si>
  <si>
    <t xml:space="preserve">AI Builder Sentiment Analysis determines:</t>
  </si>
  <si>
    <t xml:space="preserve">b) Positive, Neutral, or Negative</t>
  </si>
  <si>
    <t xml:space="preserve">To handle flow errors, you should use:</t>
  </si>
  <si>
    <t xml:space="preserve">c) Scope with Configure Run After</t>
  </si>
  <si>
    <t xml:space="preserve">Which connector retrieves SharePoint list items?</t>
  </si>
  <si>
    <t xml:space="preserve">c) SharePoint - Get items</t>
  </si>
  <si>
    <t xml:space="preserve">A Scheduled flow trigger fires:</t>
  </si>
  <si>
    <t xml:space="preserve">b) On a timer/recurrence</t>
  </si>
  <si>
    <t xml:space="preserve">To check flow errors, go to:</t>
  </si>
  <si>
    <t xml:space="preserve">c) Run History</t>
  </si>
  <si>
    <t xml:space="preserve">concat('Hello ','World') returns:</t>
  </si>
  <si>
    <t xml:space="preserve">c) 'Hello World'</t>
  </si>
  <si>
    <t xml:space="preserve">Which is a Standard (free) connector?</t>
  </si>
  <si>
    <t xml:space="preserve">d) Microsoft Outlook</t>
  </si>
  <si>
    <t xml:space="preserve">'Do Until' loop runs until:</t>
  </si>
  <si>
    <t xml:space="preserve">b) A specified condition becomes true</t>
  </si>
  <si>
    <t xml:space="preserve">'Everyone must approve' means:</t>
  </si>
  <si>
    <t xml:space="preserve">b) All approvers must respond</t>
  </si>
  <si>
    <t xml:space="preserve">Variables must be created using:</t>
  </si>
  <si>
    <t xml:space="preserve">c) Initialize Variable</t>
  </si>
  <si>
    <t xml:space="preserve">AI Builder Document Processing extracts from:</t>
  </si>
  <si>
    <t xml:space="preserve">c) Invoices and receipts</t>
  </si>
  <si>
    <t xml:space="preserve">Good flow design practice includes:</t>
  </si>
  <si>
    <t xml:space="preserve">c) Descriptive names and error handling</t>
  </si>
  <si>
    <t xml:space="preserve">Power Automate is part of:</t>
  </si>
  <si>
    <t xml:space="preserve">b) Microsoft Power Platform</t>
  </si>
  <si>
    <t xml:space="preserve">YOUR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</si>
</sst>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6E4F7"/>
        <bgColor rgb="FFEEF4FC"/>
      </patternFill>
    </fill>
    <fill>
      <patternFill patternType="solid">
        <fgColor rgb="FFFFFFFF"/>
        <bgColor rgb="FFEEF4FC"/>
      </patternFill>
    </fill>
    <fill>
      <patternFill patternType="solid">
        <fgColor rgb="FFEEF4FC"/>
        <bgColor rgb="FFFFFFFF"/>
      </patternFill>
    </fill>
    <fill>
      <patternFill patternType="solid">
        <fgColor rgb="FF2E5FA3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4FC"/>
      <rgbColor rgb="FFCCFFFF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3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3.85" hidden="false" customHeight="fals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n">
        <v>5</v>
      </c>
      <c r="I4" s="4" t="s">
        <v>19</v>
      </c>
      <c r="J4" s="4" t="s">
        <v>20</v>
      </c>
    </row>
    <row r="5" customFormat="false" ht="15" hidden="false" customHeight="false" outlineLevel="0" collapsed="false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n">
        <v>2</v>
      </c>
      <c r="I5" s="5" t="s">
        <v>28</v>
      </c>
      <c r="J5" s="5" t="s">
        <v>29</v>
      </c>
    </row>
    <row r="6" customFormat="false" ht="15" hidden="false" customHeight="false" outlineLevel="0" collapsed="false">
      <c r="A6" s="4" t="s">
        <v>30</v>
      </c>
      <c r="B6" s="4" t="s">
        <v>31</v>
      </c>
      <c r="C6" s="4" t="s">
        <v>32</v>
      </c>
      <c r="D6" s="4" t="s">
        <v>33</v>
      </c>
      <c r="E6" s="4" t="s">
        <v>16</v>
      </c>
      <c r="F6" s="4" t="s">
        <v>34</v>
      </c>
      <c r="G6" s="4" t="s">
        <v>35</v>
      </c>
      <c r="H6" s="4" t="n">
        <v>5</v>
      </c>
      <c r="I6" s="4" t="s">
        <v>19</v>
      </c>
      <c r="J6" s="4" t="s">
        <v>36</v>
      </c>
    </row>
    <row r="7" customFormat="false" ht="15" hidden="false" customHeight="false" outlineLevel="0" collapsed="false">
      <c r="A7" s="5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42</v>
      </c>
      <c r="H7" s="5" t="n">
        <v>1</v>
      </c>
      <c r="I7" s="5" t="s">
        <v>28</v>
      </c>
      <c r="J7" s="5" t="s">
        <v>43</v>
      </c>
    </row>
    <row r="8" customFormat="false" ht="15" hidden="false" customHeight="false" outlineLevel="0" collapsed="false">
      <c r="A8" s="4" t="s">
        <v>44</v>
      </c>
      <c r="B8" s="4" t="s">
        <v>45</v>
      </c>
      <c r="C8" s="4" t="s">
        <v>46</v>
      </c>
      <c r="D8" s="4" t="s">
        <v>47</v>
      </c>
      <c r="E8" s="4" t="s">
        <v>16</v>
      </c>
      <c r="F8" s="4" t="s">
        <v>48</v>
      </c>
      <c r="G8" s="4" t="s">
        <v>49</v>
      </c>
      <c r="H8" s="4" t="n">
        <v>8</v>
      </c>
      <c r="I8" s="4" t="s">
        <v>19</v>
      </c>
      <c r="J8" s="4" t="s">
        <v>50</v>
      </c>
    </row>
    <row r="9" customFormat="false" ht="15" hidden="false" customHeight="false" outlineLevel="0" collapsed="false">
      <c r="A9" s="5" t="s">
        <v>51</v>
      </c>
      <c r="B9" s="5" t="s">
        <v>52</v>
      </c>
      <c r="C9" s="5" t="s">
        <v>53</v>
      </c>
      <c r="D9" s="5" t="s">
        <v>54</v>
      </c>
      <c r="E9" s="5" t="s">
        <v>25</v>
      </c>
      <c r="F9" s="5" t="s">
        <v>55</v>
      </c>
      <c r="G9" s="5" t="s">
        <v>55</v>
      </c>
      <c r="H9" s="5" t="n">
        <v>1</v>
      </c>
      <c r="I9" s="5" t="s">
        <v>56</v>
      </c>
      <c r="J9" s="5" t="s">
        <v>57</v>
      </c>
    </row>
    <row r="10" customFormat="false" ht="15" hidden="false" customHeight="false" outlineLevel="0" collapsed="false">
      <c r="A10" s="4" t="s">
        <v>58</v>
      </c>
      <c r="B10" s="4" t="s">
        <v>59</v>
      </c>
      <c r="C10" s="4" t="s">
        <v>60</v>
      </c>
      <c r="D10" s="4" t="s">
        <v>24</v>
      </c>
      <c r="E10" s="4" t="s">
        <v>16</v>
      </c>
      <c r="F10" s="4" t="s">
        <v>61</v>
      </c>
      <c r="G10" s="4" t="s">
        <v>62</v>
      </c>
      <c r="H10" s="4" t="n">
        <v>5</v>
      </c>
      <c r="I10" s="4" t="s">
        <v>19</v>
      </c>
      <c r="J10" s="4" t="s">
        <v>29</v>
      </c>
    </row>
    <row r="11" customFormat="false" ht="15" hidden="false" customHeight="false" outlineLevel="0" collapsed="false">
      <c r="A11" s="5" t="s">
        <v>63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  <c r="H11" s="5" t="n">
        <v>90</v>
      </c>
      <c r="I11" s="5" t="s">
        <v>28</v>
      </c>
      <c r="J11" s="5" t="s">
        <v>70</v>
      </c>
    </row>
    <row r="12" customFormat="false" ht="23.85" hidden="false" customHeight="false" outlineLevel="0" collapsed="false">
      <c r="A12" s="4" t="s">
        <v>71</v>
      </c>
      <c r="B12" s="4" t="s">
        <v>72</v>
      </c>
      <c r="C12" s="4" t="s">
        <v>73</v>
      </c>
      <c r="D12" s="4" t="s">
        <v>15</v>
      </c>
      <c r="E12" s="4" t="s">
        <v>16</v>
      </c>
      <c r="F12" s="4" t="s">
        <v>74</v>
      </c>
      <c r="G12" s="4" t="s">
        <v>75</v>
      </c>
      <c r="H12" s="4" t="n">
        <v>5</v>
      </c>
      <c r="I12" s="4" t="s">
        <v>19</v>
      </c>
      <c r="J12" s="4" t="s">
        <v>20</v>
      </c>
    </row>
    <row r="13" customFormat="false" ht="15" hidden="false" customHeight="false" outlineLevel="0" collapsed="false">
      <c r="A13" s="5" t="s">
        <v>76</v>
      </c>
      <c r="B13" s="5" t="s">
        <v>77</v>
      </c>
      <c r="C13" s="5" t="s">
        <v>78</v>
      </c>
      <c r="D13" s="5" t="s">
        <v>79</v>
      </c>
      <c r="E13" s="5" t="s">
        <v>16</v>
      </c>
      <c r="F13" s="5" t="s">
        <v>80</v>
      </c>
      <c r="G13" s="5" t="s">
        <v>81</v>
      </c>
      <c r="H13" s="5" t="n">
        <v>2</v>
      </c>
      <c r="I13" s="5" t="s">
        <v>28</v>
      </c>
      <c r="J13" s="5" t="s">
        <v>82</v>
      </c>
    </row>
    <row r="14" customFormat="false" ht="15" hidden="false" customHeight="false" outlineLevel="0" collapsed="false">
      <c r="A14" s="4" t="s">
        <v>83</v>
      </c>
      <c r="B14" s="4" t="s">
        <v>84</v>
      </c>
      <c r="C14" s="4" t="s">
        <v>85</v>
      </c>
      <c r="D14" s="4" t="s">
        <v>33</v>
      </c>
      <c r="E14" s="4" t="s">
        <v>16</v>
      </c>
      <c r="F14" s="4" t="s">
        <v>86</v>
      </c>
      <c r="G14" s="4" t="s">
        <v>87</v>
      </c>
      <c r="H14" s="4" t="n">
        <v>5</v>
      </c>
      <c r="I14" s="4" t="s">
        <v>19</v>
      </c>
      <c r="J14" s="4" t="s">
        <v>36</v>
      </c>
    </row>
    <row r="15" customFormat="false" ht="15" hidden="false" customHeight="false" outlineLevel="0" collapsed="false">
      <c r="A15" s="5" t="s">
        <v>88</v>
      </c>
      <c r="B15" s="5" t="s">
        <v>89</v>
      </c>
      <c r="C15" s="5" t="s">
        <v>90</v>
      </c>
      <c r="D15" s="5" t="s">
        <v>24</v>
      </c>
      <c r="E15" s="5" t="s">
        <v>25</v>
      </c>
      <c r="F15" s="5" t="s">
        <v>91</v>
      </c>
      <c r="G15" s="5" t="s">
        <v>91</v>
      </c>
      <c r="H15" s="5" t="n">
        <v>1</v>
      </c>
      <c r="I15" s="5" t="s">
        <v>28</v>
      </c>
      <c r="J15" s="5" t="s">
        <v>29</v>
      </c>
    </row>
    <row r="16" customFormat="false" ht="15" hidden="false" customHeight="true" outlineLevel="0" collapsed="false">
      <c r="A16" s="6" t="s">
        <v>92</v>
      </c>
      <c r="B16" s="6"/>
      <c r="C16" s="6"/>
      <c r="D16" s="6"/>
      <c r="E16" s="6"/>
      <c r="F16" s="6"/>
      <c r="G16" s="6"/>
      <c r="H16" s="7" t="n">
        <f aca="false">SUM(H4:H15)</f>
        <v>130</v>
      </c>
    </row>
  </sheetData>
  <mergeCells count="3">
    <mergeCell ref="A1:J1"/>
    <mergeCell ref="A2:J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8" min="6" style="0" width="13"/>
    <col collapsed="false" customWidth="true" hidden="false" outlineLevel="0" max="9" min="9" style="0" width="2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94</v>
      </c>
      <c r="B3" s="3" t="s">
        <v>95</v>
      </c>
      <c r="C3" s="3" t="s">
        <v>96</v>
      </c>
      <c r="D3" s="3" t="s">
        <v>5</v>
      </c>
      <c r="E3" s="3" t="s">
        <v>97</v>
      </c>
      <c r="F3" s="3" t="s">
        <v>98</v>
      </c>
      <c r="G3" s="3" t="s">
        <v>99</v>
      </c>
      <c r="H3" s="3" t="s">
        <v>10</v>
      </c>
      <c r="I3" s="3" t="s">
        <v>100</v>
      </c>
      <c r="J3" s="3" t="s">
        <v>101</v>
      </c>
    </row>
    <row r="4" customFormat="false" ht="15" hidden="false" customHeight="false" outlineLevel="0" collapsed="false">
      <c r="A4" s="4" t="s">
        <v>102</v>
      </c>
      <c r="B4" s="4" t="s">
        <v>103</v>
      </c>
      <c r="C4" s="4" t="s">
        <v>104</v>
      </c>
      <c r="D4" s="4" t="s">
        <v>33</v>
      </c>
      <c r="E4" s="4" t="n">
        <v>4500</v>
      </c>
      <c r="F4" s="4" t="s">
        <v>105</v>
      </c>
      <c r="G4" s="4" t="s">
        <v>106</v>
      </c>
      <c r="H4" s="4" t="s">
        <v>19</v>
      </c>
      <c r="I4" s="4"/>
      <c r="J4" s="4" t="s">
        <v>107</v>
      </c>
    </row>
    <row r="5" customFormat="false" ht="15" hidden="false" customHeight="false" outlineLevel="0" collapsed="false">
      <c r="A5" s="5" t="s">
        <v>108</v>
      </c>
      <c r="B5" s="5" t="s">
        <v>109</v>
      </c>
      <c r="C5" s="5" t="s">
        <v>110</v>
      </c>
      <c r="D5" s="5" t="s">
        <v>79</v>
      </c>
      <c r="E5" s="5" t="n">
        <v>1250</v>
      </c>
      <c r="F5" s="5" t="s">
        <v>111</v>
      </c>
      <c r="G5" s="5" t="s">
        <v>112</v>
      </c>
      <c r="H5" s="5" t="s">
        <v>28</v>
      </c>
      <c r="I5" s="5" t="s">
        <v>113</v>
      </c>
      <c r="J5" s="5" t="s">
        <v>114</v>
      </c>
    </row>
    <row r="6" customFormat="false" ht="15" hidden="false" customHeight="false" outlineLevel="0" collapsed="false">
      <c r="A6" s="4" t="s">
        <v>115</v>
      </c>
      <c r="B6" s="4" t="s">
        <v>116</v>
      </c>
      <c r="C6" s="4" t="s">
        <v>117</v>
      </c>
      <c r="D6" s="4" t="s">
        <v>118</v>
      </c>
      <c r="E6" s="4" t="n">
        <v>6800</v>
      </c>
      <c r="F6" s="4" t="s">
        <v>105</v>
      </c>
      <c r="G6" s="4" t="s">
        <v>106</v>
      </c>
      <c r="H6" s="4" t="s">
        <v>28</v>
      </c>
      <c r="I6" s="4" t="s">
        <v>113</v>
      </c>
      <c r="J6" s="4" t="s">
        <v>119</v>
      </c>
    </row>
    <row r="7" customFormat="false" ht="15" hidden="false" customHeight="false" outlineLevel="0" collapsed="false">
      <c r="A7" s="5" t="s">
        <v>120</v>
      </c>
      <c r="B7" s="5" t="s">
        <v>121</v>
      </c>
      <c r="C7" s="5" t="s">
        <v>122</v>
      </c>
      <c r="D7" s="5" t="s">
        <v>15</v>
      </c>
      <c r="E7" s="5" t="n">
        <v>3200</v>
      </c>
      <c r="F7" s="5" t="s">
        <v>123</v>
      </c>
      <c r="G7" s="5" t="s">
        <v>124</v>
      </c>
      <c r="H7" s="5" t="s">
        <v>19</v>
      </c>
      <c r="I7" s="5"/>
      <c r="J7" s="5" t="s">
        <v>125</v>
      </c>
    </row>
    <row r="8" customFormat="false" ht="15" hidden="false" customHeight="false" outlineLevel="0" collapsed="false">
      <c r="A8" s="4" t="s">
        <v>126</v>
      </c>
      <c r="B8" s="4" t="s">
        <v>127</v>
      </c>
      <c r="C8" s="4" t="s">
        <v>128</v>
      </c>
      <c r="D8" s="4" t="s">
        <v>33</v>
      </c>
      <c r="E8" s="4" t="n">
        <v>15000</v>
      </c>
      <c r="F8" s="4" t="s">
        <v>105</v>
      </c>
      <c r="G8" s="4" t="s">
        <v>129</v>
      </c>
      <c r="H8" s="4" t="s">
        <v>19</v>
      </c>
      <c r="I8" s="4"/>
      <c r="J8" s="4" t="s">
        <v>130</v>
      </c>
    </row>
    <row r="9" customFormat="false" ht="15" hidden="false" customHeight="false" outlineLevel="0" collapsed="false">
      <c r="A9" s="5" t="s">
        <v>131</v>
      </c>
      <c r="B9" s="5" t="s">
        <v>132</v>
      </c>
      <c r="C9" s="5" t="s">
        <v>133</v>
      </c>
      <c r="D9" s="5" t="s">
        <v>134</v>
      </c>
      <c r="E9" s="5" t="n">
        <v>2400</v>
      </c>
      <c r="F9" s="5" t="s">
        <v>105</v>
      </c>
      <c r="G9" s="5" t="s">
        <v>106</v>
      </c>
      <c r="H9" s="5" t="s">
        <v>28</v>
      </c>
      <c r="I9" s="5" t="s">
        <v>113</v>
      </c>
      <c r="J9" s="5" t="s">
        <v>135</v>
      </c>
    </row>
    <row r="10" customFormat="false" ht="15" hidden="false" customHeight="false" outlineLevel="0" collapsed="false">
      <c r="A10" s="4" t="s">
        <v>136</v>
      </c>
      <c r="B10" s="4" t="s">
        <v>137</v>
      </c>
      <c r="C10" s="4" t="s">
        <v>138</v>
      </c>
      <c r="D10" s="4" t="s">
        <v>139</v>
      </c>
      <c r="E10" s="4" t="n">
        <v>8500</v>
      </c>
      <c r="F10" s="4" t="s">
        <v>140</v>
      </c>
      <c r="G10" s="4" t="s">
        <v>141</v>
      </c>
      <c r="H10" s="4" t="s">
        <v>19</v>
      </c>
      <c r="I10" s="4"/>
      <c r="J10" s="4" t="s">
        <v>142</v>
      </c>
    </row>
    <row r="11" customFormat="false" ht="15" hidden="false" customHeight="false" outlineLevel="0" collapsed="false">
      <c r="A11" s="5" t="s">
        <v>143</v>
      </c>
      <c r="B11" s="5" t="s">
        <v>144</v>
      </c>
      <c r="C11" s="5" t="s">
        <v>145</v>
      </c>
      <c r="D11" s="5" t="s">
        <v>40</v>
      </c>
      <c r="E11" s="5" t="n">
        <v>5000</v>
      </c>
      <c r="F11" s="5" t="s">
        <v>146</v>
      </c>
      <c r="G11" s="5" t="s">
        <v>146</v>
      </c>
      <c r="H11" s="5" t="s">
        <v>28</v>
      </c>
      <c r="I11" s="5" t="s">
        <v>147</v>
      </c>
      <c r="J11" s="5" t="s">
        <v>148</v>
      </c>
    </row>
    <row r="12" customFormat="false" ht="15" hidden="false" customHeight="false" outlineLevel="0" collapsed="false">
      <c r="A12" s="4" t="s">
        <v>149</v>
      </c>
      <c r="B12" s="4" t="s">
        <v>150</v>
      </c>
      <c r="C12" s="4" t="s">
        <v>151</v>
      </c>
      <c r="D12" s="4" t="s">
        <v>47</v>
      </c>
      <c r="E12" s="4" t="n">
        <v>3750</v>
      </c>
      <c r="F12" s="4" t="s">
        <v>152</v>
      </c>
      <c r="G12" s="4" t="s">
        <v>153</v>
      </c>
      <c r="H12" s="4" t="s">
        <v>19</v>
      </c>
      <c r="I12" s="4"/>
      <c r="J12" s="4" t="s">
        <v>154</v>
      </c>
    </row>
    <row r="13" customFormat="false" ht="15" hidden="false" customHeight="false" outlineLevel="0" collapsed="false">
      <c r="A13" s="5" t="s">
        <v>155</v>
      </c>
      <c r="B13" s="5" t="s">
        <v>156</v>
      </c>
      <c r="C13" s="5" t="s">
        <v>157</v>
      </c>
      <c r="D13" s="5" t="s">
        <v>15</v>
      </c>
      <c r="E13" s="5" t="n">
        <v>9200</v>
      </c>
      <c r="F13" s="5" t="s">
        <v>158</v>
      </c>
      <c r="G13" s="5" t="s">
        <v>159</v>
      </c>
      <c r="H13" s="5" t="s">
        <v>19</v>
      </c>
      <c r="I13" s="5"/>
      <c r="J13" s="5" t="s">
        <v>160</v>
      </c>
    </row>
    <row r="14" customFormat="false" ht="15" hidden="false" customHeight="true" outlineLevel="0" collapsed="false">
      <c r="A14" s="6" t="s">
        <v>161</v>
      </c>
      <c r="B14" s="6"/>
      <c r="C14" s="6"/>
      <c r="D14" s="6"/>
      <c r="E14" s="8" t="n">
        <f aca="false">SUM(E4:E13)</f>
        <v>59600</v>
      </c>
    </row>
  </sheetData>
  <mergeCells count="3">
    <mergeCell ref="A1:J1"/>
    <mergeCell ref="A2:J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163</v>
      </c>
      <c r="B3" s="3" t="s">
        <v>164</v>
      </c>
      <c r="C3" s="3" t="s">
        <v>165</v>
      </c>
      <c r="D3" s="3" t="s">
        <v>166</v>
      </c>
      <c r="E3" s="3" t="s">
        <v>167</v>
      </c>
      <c r="F3" s="3" t="s">
        <v>168</v>
      </c>
      <c r="G3" s="3" t="s">
        <v>10</v>
      </c>
      <c r="H3" s="3" t="s">
        <v>169</v>
      </c>
      <c r="I3" s="3" t="s">
        <v>170</v>
      </c>
      <c r="J3" s="3" t="s">
        <v>171</v>
      </c>
    </row>
    <row r="4" customFormat="false" ht="15" hidden="false" customHeight="false" outlineLevel="0" collapsed="false">
      <c r="A4" s="4" t="s">
        <v>172</v>
      </c>
      <c r="B4" s="4" t="s">
        <v>173</v>
      </c>
      <c r="C4" s="4" t="s">
        <v>174</v>
      </c>
      <c r="D4" s="4" t="s">
        <v>175</v>
      </c>
      <c r="E4" s="4" t="s">
        <v>176</v>
      </c>
      <c r="F4" s="4" t="s">
        <v>177</v>
      </c>
      <c r="G4" s="4" t="s">
        <v>178</v>
      </c>
      <c r="H4" s="4" t="s">
        <v>179</v>
      </c>
      <c r="I4" s="4" t="s">
        <v>180</v>
      </c>
      <c r="J4" s="4" t="n">
        <v>4</v>
      </c>
    </row>
    <row r="5" customFormat="false" ht="15" hidden="false" customHeight="false" outlineLevel="0" collapsed="false">
      <c r="A5" s="5" t="s">
        <v>181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  <c r="G5" s="5" t="s">
        <v>187</v>
      </c>
      <c r="H5" s="5" t="s">
        <v>188</v>
      </c>
      <c r="I5" s="5" t="s">
        <v>189</v>
      </c>
      <c r="J5" s="5" t="n">
        <v>8</v>
      </c>
    </row>
    <row r="6" customFormat="false" ht="15" hidden="false" customHeight="false" outlineLevel="0" collapsed="false">
      <c r="A6" s="4" t="s">
        <v>190</v>
      </c>
      <c r="B6" s="4" t="s">
        <v>191</v>
      </c>
      <c r="C6" s="4" t="s">
        <v>192</v>
      </c>
      <c r="D6" s="4" t="s">
        <v>193</v>
      </c>
      <c r="E6" s="4" t="s">
        <v>194</v>
      </c>
      <c r="F6" s="4" t="s">
        <v>177</v>
      </c>
      <c r="G6" s="4" t="s">
        <v>195</v>
      </c>
      <c r="H6" s="4" t="s">
        <v>179</v>
      </c>
      <c r="I6" s="4" t="s">
        <v>196</v>
      </c>
      <c r="J6" s="4" t="n">
        <v>4</v>
      </c>
    </row>
    <row r="7" customFormat="false" ht="15" hidden="false" customHeight="false" outlineLevel="0" collapsed="false">
      <c r="A7" s="5" t="s">
        <v>197</v>
      </c>
      <c r="B7" s="5" t="s">
        <v>198</v>
      </c>
      <c r="C7" s="5" t="s">
        <v>199</v>
      </c>
      <c r="D7" s="5" t="s">
        <v>200</v>
      </c>
      <c r="E7" s="5" t="s">
        <v>176</v>
      </c>
      <c r="F7" s="5" t="s">
        <v>201</v>
      </c>
      <c r="G7" s="5" t="s">
        <v>178</v>
      </c>
      <c r="H7" s="5" t="s">
        <v>188</v>
      </c>
      <c r="I7" s="5" t="s">
        <v>202</v>
      </c>
      <c r="J7" s="5" t="n">
        <v>24</v>
      </c>
    </row>
    <row r="8" customFormat="false" ht="15" hidden="false" customHeight="false" outlineLevel="0" collapsed="false">
      <c r="A8" s="4" t="s">
        <v>203</v>
      </c>
      <c r="B8" s="4" t="s">
        <v>204</v>
      </c>
      <c r="C8" s="4" t="s">
        <v>205</v>
      </c>
      <c r="D8" s="4" t="s">
        <v>206</v>
      </c>
      <c r="E8" s="4" t="s">
        <v>185</v>
      </c>
      <c r="F8" s="4" t="s">
        <v>186</v>
      </c>
      <c r="G8" s="4" t="s">
        <v>178</v>
      </c>
      <c r="H8" s="4" t="s">
        <v>207</v>
      </c>
      <c r="I8" s="4" t="s">
        <v>208</v>
      </c>
      <c r="J8" s="4" t="n">
        <v>8</v>
      </c>
    </row>
    <row r="9" customFormat="false" ht="15" hidden="false" customHeight="false" outlineLevel="0" collapsed="false">
      <c r="A9" s="5" t="s">
        <v>209</v>
      </c>
      <c r="B9" s="5" t="s">
        <v>210</v>
      </c>
      <c r="C9" s="5" t="s">
        <v>211</v>
      </c>
      <c r="D9" s="5" t="s">
        <v>212</v>
      </c>
      <c r="E9" s="5" t="s">
        <v>213</v>
      </c>
      <c r="F9" s="5" t="s">
        <v>201</v>
      </c>
      <c r="G9" s="5" t="s">
        <v>195</v>
      </c>
      <c r="H9" s="5" t="s">
        <v>214</v>
      </c>
      <c r="I9" s="5" t="s">
        <v>215</v>
      </c>
      <c r="J9" s="5" t="n">
        <v>24</v>
      </c>
    </row>
    <row r="10" customFormat="false" ht="15" hidden="false" customHeight="false" outlineLevel="0" collapsed="false">
      <c r="A10" s="4" t="s">
        <v>216</v>
      </c>
      <c r="B10" s="4" t="s">
        <v>217</v>
      </c>
      <c r="C10" s="4" t="s">
        <v>218</v>
      </c>
      <c r="D10" s="4" t="s">
        <v>219</v>
      </c>
      <c r="E10" s="4" t="s">
        <v>176</v>
      </c>
      <c r="F10" s="4" t="s">
        <v>177</v>
      </c>
      <c r="G10" s="4" t="s">
        <v>187</v>
      </c>
      <c r="H10" s="4" t="s">
        <v>179</v>
      </c>
      <c r="I10" s="4" t="s">
        <v>220</v>
      </c>
      <c r="J10" s="4" t="n">
        <v>4</v>
      </c>
    </row>
    <row r="11" customFormat="false" ht="15" hidden="false" customHeight="false" outlineLevel="0" collapsed="false">
      <c r="A11" s="5" t="s">
        <v>221</v>
      </c>
      <c r="B11" s="5" t="s">
        <v>222</v>
      </c>
      <c r="C11" s="5" t="s">
        <v>223</v>
      </c>
      <c r="D11" s="5" t="s">
        <v>224</v>
      </c>
      <c r="E11" s="5" t="s">
        <v>185</v>
      </c>
      <c r="F11" s="5" t="s">
        <v>186</v>
      </c>
      <c r="G11" s="5" t="s">
        <v>178</v>
      </c>
      <c r="H11" s="5" t="s">
        <v>188</v>
      </c>
      <c r="I11" s="5" t="s">
        <v>225</v>
      </c>
      <c r="J11" s="5" t="n">
        <v>8</v>
      </c>
    </row>
    <row r="12" customFormat="false" ht="15" hidden="false" customHeight="false" outlineLevel="0" collapsed="false">
      <c r="A12" s="4" t="s">
        <v>226</v>
      </c>
      <c r="B12" s="4" t="s">
        <v>227</v>
      </c>
      <c r="C12" s="4" t="s">
        <v>228</v>
      </c>
      <c r="D12" s="4" t="s">
        <v>229</v>
      </c>
      <c r="E12" s="4" t="s">
        <v>176</v>
      </c>
      <c r="F12" s="4" t="s">
        <v>186</v>
      </c>
      <c r="G12" s="4" t="s">
        <v>195</v>
      </c>
      <c r="H12" s="4" t="s">
        <v>207</v>
      </c>
      <c r="I12" s="4" t="s">
        <v>230</v>
      </c>
      <c r="J12" s="4" t="n">
        <v>8</v>
      </c>
    </row>
    <row r="13" customFormat="false" ht="15" hidden="false" customHeight="false" outlineLevel="0" collapsed="false">
      <c r="A13" s="5" t="s">
        <v>231</v>
      </c>
      <c r="B13" s="5" t="s">
        <v>232</v>
      </c>
      <c r="C13" s="5" t="s">
        <v>233</v>
      </c>
      <c r="D13" s="5" t="s">
        <v>234</v>
      </c>
      <c r="E13" s="5" t="s">
        <v>213</v>
      </c>
      <c r="F13" s="5" t="s">
        <v>177</v>
      </c>
      <c r="G13" s="5" t="s">
        <v>195</v>
      </c>
      <c r="H13" s="5" t="s">
        <v>214</v>
      </c>
      <c r="I13" s="5" t="s">
        <v>235</v>
      </c>
      <c r="J13" s="5" t="n">
        <v>2</v>
      </c>
    </row>
    <row r="14" customFormat="false" ht="15" hidden="false" customHeight="false" outlineLevel="0" collapsed="false">
      <c r="A14" s="4" t="s">
        <v>236</v>
      </c>
      <c r="B14" s="4" t="s">
        <v>237</v>
      </c>
      <c r="C14" s="4" t="s">
        <v>238</v>
      </c>
      <c r="D14" s="4" t="s">
        <v>239</v>
      </c>
      <c r="E14" s="4" t="s">
        <v>176</v>
      </c>
      <c r="F14" s="4" t="s">
        <v>177</v>
      </c>
      <c r="G14" s="4" t="s">
        <v>178</v>
      </c>
      <c r="H14" s="4" t="s">
        <v>179</v>
      </c>
      <c r="I14" s="4" t="s">
        <v>240</v>
      </c>
      <c r="J14" s="4" t="n">
        <v>4</v>
      </c>
    </row>
    <row r="15" customFormat="false" ht="15" hidden="false" customHeight="false" outlineLevel="0" collapsed="false">
      <c r="A15" s="5" t="s">
        <v>241</v>
      </c>
      <c r="B15" s="5" t="s">
        <v>242</v>
      </c>
      <c r="C15" s="5" t="s">
        <v>243</v>
      </c>
      <c r="D15" s="5" t="s">
        <v>244</v>
      </c>
      <c r="E15" s="5" t="s">
        <v>194</v>
      </c>
      <c r="F15" s="5" t="s">
        <v>186</v>
      </c>
      <c r="G15" s="5" t="s">
        <v>187</v>
      </c>
      <c r="H15" s="5" t="s">
        <v>188</v>
      </c>
      <c r="I15" s="5" t="s">
        <v>245</v>
      </c>
      <c r="J15" s="5" t="n">
        <v>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247</v>
      </c>
      <c r="B3" s="3" t="s">
        <v>248</v>
      </c>
      <c r="C3" s="3" t="s">
        <v>249</v>
      </c>
      <c r="D3" s="3" t="s">
        <v>5</v>
      </c>
      <c r="E3" s="3" t="s">
        <v>250</v>
      </c>
      <c r="F3" s="3" t="s">
        <v>251</v>
      </c>
      <c r="G3" s="3" t="s">
        <v>252</v>
      </c>
      <c r="H3" s="3" t="s">
        <v>253</v>
      </c>
      <c r="I3" s="3" t="s">
        <v>10</v>
      </c>
      <c r="J3" s="3" t="s">
        <v>254</v>
      </c>
    </row>
    <row r="4" customFormat="false" ht="15" hidden="false" customHeight="false" outlineLevel="0" collapsed="false">
      <c r="A4" s="4" t="s">
        <v>255</v>
      </c>
      <c r="B4" s="4" t="s">
        <v>256</v>
      </c>
      <c r="C4" s="4" t="s">
        <v>257</v>
      </c>
      <c r="D4" s="4" t="s">
        <v>40</v>
      </c>
      <c r="E4" s="4" t="s">
        <v>258</v>
      </c>
      <c r="F4" s="4" t="n">
        <v>10</v>
      </c>
      <c r="G4" s="4" t="n">
        <v>850</v>
      </c>
      <c r="H4" s="4" t="n">
        <f aca="false">F4*G4</f>
        <v>8500</v>
      </c>
      <c r="I4" s="4" t="s">
        <v>28</v>
      </c>
      <c r="J4" s="4" t="s">
        <v>259</v>
      </c>
    </row>
    <row r="5" customFormat="false" ht="15" hidden="false" customHeight="false" outlineLevel="0" collapsed="false">
      <c r="A5" s="5" t="s">
        <v>260</v>
      </c>
      <c r="B5" s="5" t="s">
        <v>261</v>
      </c>
      <c r="C5" s="5" t="s">
        <v>262</v>
      </c>
      <c r="D5" s="5" t="s">
        <v>15</v>
      </c>
      <c r="E5" s="5" t="s">
        <v>263</v>
      </c>
      <c r="F5" s="5" t="n">
        <v>5</v>
      </c>
      <c r="G5" s="5" t="n">
        <v>480</v>
      </c>
      <c r="H5" s="5" t="n">
        <f aca="false">F5*G5</f>
        <v>2400</v>
      </c>
      <c r="I5" s="5" t="s">
        <v>19</v>
      </c>
      <c r="J5" s="5" t="s">
        <v>264</v>
      </c>
    </row>
    <row r="6" customFormat="false" ht="15" hidden="false" customHeight="false" outlineLevel="0" collapsed="false">
      <c r="A6" s="4" t="s">
        <v>265</v>
      </c>
      <c r="B6" s="4" t="s">
        <v>266</v>
      </c>
      <c r="C6" s="4" t="s">
        <v>267</v>
      </c>
      <c r="D6" s="4" t="s">
        <v>33</v>
      </c>
      <c r="E6" s="4" t="s">
        <v>268</v>
      </c>
      <c r="F6" s="4" t="n">
        <v>4</v>
      </c>
      <c r="G6" s="4" t="n">
        <v>3000</v>
      </c>
      <c r="H6" s="4" t="n">
        <f aca="false">F6*G6</f>
        <v>12000</v>
      </c>
      <c r="I6" s="4" t="s">
        <v>19</v>
      </c>
      <c r="J6" s="4" t="s">
        <v>269</v>
      </c>
    </row>
    <row r="7" customFormat="false" ht="15" hidden="false" customHeight="false" outlineLevel="0" collapsed="false">
      <c r="A7" s="5" t="s">
        <v>270</v>
      </c>
      <c r="B7" s="5" t="s">
        <v>271</v>
      </c>
      <c r="C7" s="5" t="s">
        <v>272</v>
      </c>
      <c r="D7" s="5" t="s">
        <v>47</v>
      </c>
      <c r="E7" s="5" t="s">
        <v>273</v>
      </c>
      <c r="F7" s="5" t="n">
        <v>20</v>
      </c>
      <c r="G7" s="5" t="n">
        <v>180</v>
      </c>
      <c r="H7" s="5" t="n">
        <f aca="false">F7*G7</f>
        <v>3600</v>
      </c>
      <c r="I7" s="5" t="s">
        <v>28</v>
      </c>
      <c r="J7" s="5" t="s">
        <v>264</v>
      </c>
    </row>
    <row r="8" customFormat="false" ht="15" hidden="false" customHeight="false" outlineLevel="0" collapsed="false">
      <c r="A8" s="4" t="s">
        <v>274</v>
      </c>
      <c r="B8" s="4" t="s">
        <v>237</v>
      </c>
      <c r="C8" s="4" t="s">
        <v>238</v>
      </c>
      <c r="D8" s="4" t="s">
        <v>24</v>
      </c>
      <c r="E8" s="4" t="s">
        <v>275</v>
      </c>
      <c r="F8" s="4" t="n">
        <v>1</v>
      </c>
      <c r="G8" s="4" t="n">
        <v>18500</v>
      </c>
      <c r="H8" s="4" t="n">
        <f aca="false">F8*G8</f>
        <v>18500</v>
      </c>
      <c r="I8" s="4" t="s">
        <v>19</v>
      </c>
      <c r="J8" s="4" t="s">
        <v>269</v>
      </c>
    </row>
    <row r="9" customFormat="false" ht="15" hidden="false" customHeight="false" outlineLevel="0" collapsed="false">
      <c r="A9" s="5" t="s">
        <v>276</v>
      </c>
      <c r="B9" s="5" t="s">
        <v>277</v>
      </c>
      <c r="C9" s="5" t="s">
        <v>278</v>
      </c>
      <c r="D9" s="5" t="s">
        <v>79</v>
      </c>
      <c r="E9" s="5" t="s">
        <v>279</v>
      </c>
      <c r="F9" s="5" t="n">
        <v>1</v>
      </c>
      <c r="G9" s="5" t="n">
        <v>800</v>
      </c>
      <c r="H9" s="5" t="n">
        <f aca="false">F9*G9</f>
        <v>800</v>
      </c>
      <c r="I9" s="5" t="s">
        <v>28</v>
      </c>
      <c r="J9" s="5" t="s">
        <v>264</v>
      </c>
    </row>
    <row r="10" customFormat="false" ht="15" hidden="false" customHeight="false" outlineLevel="0" collapsed="false">
      <c r="A10" s="4" t="s">
        <v>280</v>
      </c>
      <c r="B10" s="4" t="s">
        <v>281</v>
      </c>
      <c r="C10" s="4" t="s">
        <v>282</v>
      </c>
      <c r="D10" s="4" t="s">
        <v>54</v>
      </c>
      <c r="E10" s="4" t="s">
        <v>283</v>
      </c>
      <c r="F10" s="4" t="n">
        <v>1</v>
      </c>
      <c r="G10" s="4" t="n">
        <v>7200</v>
      </c>
      <c r="H10" s="4" t="n">
        <f aca="false">F10*G10</f>
        <v>7200</v>
      </c>
      <c r="I10" s="4" t="s">
        <v>19</v>
      </c>
      <c r="J10" s="4" t="s">
        <v>259</v>
      </c>
    </row>
    <row r="11" customFormat="false" ht="15" hidden="false" customHeight="false" outlineLevel="0" collapsed="false">
      <c r="A11" s="5" t="s">
        <v>284</v>
      </c>
      <c r="B11" s="5" t="s">
        <v>285</v>
      </c>
      <c r="C11" s="5" t="s">
        <v>286</v>
      </c>
      <c r="D11" s="5" t="s">
        <v>40</v>
      </c>
      <c r="E11" s="5" t="s">
        <v>287</v>
      </c>
      <c r="F11" s="5" t="n">
        <v>50</v>
      </c>
      <c r="G11" s="5" t="n">
        <v>45</v>
      </c>
      <c r="H11" s="5" t="n">
        <f aca="false">F11*G11</f>
        <v>2250</v>
      </c>
      <c r="I11" s="5" t="s">
        <v>28</v>
      </c>
      <c r="J11" s="5" t="s">
        <v>264</v>
      </c>
    </row>
    <row r="12" customFormat="false" ht="15" hidden="false" customHeight="false" outlineLevel="0" collapsed="false">
      <c r="A12" s="4" t="s">
        <v>288</v>
      </c>
      <c r="B12" s="4" t="s">
        <v>289</v>
      </c>
      <c r="C12" s="4" t="s">
        <v>290</v>
      </c>
      <c r="D12" s="4" t="s">
        <v>33</v>
      </c>
      <c r="E12" s="4" t="s">
        <v>291</v>
      </c>
      <c r="F12" s="4" t="n">
        <v>20</v>
      </c>
      <c r="G12" s="4" t="n">
        <v>95</v>
      </c>
      <c r="H12" s="4" t="n">
        <f aca="false">F12*G12</f>
        <v>1900</v>
      </c>
      <c r="I12" s="4" t="s">
        <v>19</v>
      </c>
      <c r="J12" s="4" t="s">
        <v>264</v>
      </c>
    </row>
    <row r="13" customFormat="false" ht="15" hidden="false" customHeight="false" outlineLevel="0" collapsed="false">
      <c r="A13" s="5" t="s">
        <v>292</v>
      </c>
      <c r="B13" s="5" t="s">
        <v>293</v>
      </c>
      <c r="C13" s="5" t="s">
        <v>294</v>
      </c>
      <c r="D13" s="5" t="s">
        <v>15</v>
      </c>
      <c r="E13" s="5" t="s">
        <v>295</v>
      </c>
      <c r="F13" s="5" t="n">
        <v>100</v>
      </c>
      <c r="G13" s="5" t="n">
        <v>25</v>
      </c>
      <c r="H13" s="5" t="n">
        <f aca="false">F13*G13</f>
        <v>2500</v>
      </c>
      <c r="I13" s="5" t="s">
        <v>28</v>
      </c>
      <c r="J13" s="5" t="s">
        <v>264</v>
      </c>
    </row>
    <row r="14" customFormat="false" ht="15" hidden="false" customHeight="true" outlineLevel="0" collapsed="false">
      <c r="A14" s="6" t="s">
        <v>296</v>
      </c>
      <c r="B14" s="6"/>
      <c r="C14" s="6"/>
      <c r="D14" s="6"/>
      <c r="E14" s="6"/>
      <c r="F14" s="6"/>
      <c r="G14" s="6"/>
      <c r="H14" s="8" t="n">
        <f aca="false">SUM(H4:H13)</f>
        <v>59650</v>
      </c>
    </row>
  </sheetData>
  <mergeCells count="3">
    <mergeCell ref="A1:J1"/>
    <mergeCell ref="A2:J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299</v>
      </c>
      <c r="B3" s="3" t="s">
        <v>300</v>
      </c>
      <c r="C3" s="3" t="s">
        <v>301</v>
      </c>
      <c r="D3" s="3" t="s">
        <v>302</v>
      </c>
      <c r="E3" s="3" t="s">
        <v>303</v>
      </c>
      <c r="F3" s="3" t="s">
        <v>304</v>
      </c>
      <c r="G3" s="3" t="s">
        <v>305</v>
      </c>
      <c r="H3" s="3" t="s">
        <v>306</v>
      </c>
      <c r="I3" s="3" t="s">
        <v>307</v>
      </c>
      <c r="J3" s="3" t="s">
        <v>101</v>
      </c>
    </row>
    <row r="4" customFormat="false" ht="15" hidden="false" customHeight="false" outlineLevel="0" collapsed="false">
      <c r="A4" s="4" t="s">
        <v>308</v>
      </c>
      <c r="B4" s="4" t="s">
        <v>309</v>
      </c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s">
        <v>310</v>
      </c>
      <c r="B5" s="5" t="s">
        <v>311</v>
      </c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4" t="s">
        <v>312</v>
      </c>
      <c r="B6" s="4" t="s">
        <v>313</v>
      </c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5" t="s">
        <v>314</v>
      </c>
      <c r="B7" s="5" t="s">
        <v>315</v>
      </c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4" t="s">
        <v>316</v>
      </c>
      <c r="B8" s="4" t="s">
        <v>317</v>
      </c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5" t="s">
        <v>318</v>
      </c>
      <c r="B9" s="5" t="s">
        <v>319</v>
      </c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A10" s="4" t="s">
        <v>320</v>
      </c>
      <c r="B10" s="4" t="s">
        <v>321</v>
      </c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5" t="s">
        <v>322</v>
      </c>
      <c r="B11" s="5" t="s">
        <v>323</v>
      </c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4" t="s">
        <v>324</v>
      </c>
      <c r="B12" s="4" t="s">
        <v>325</v>
      </c>
      <c r="C12" s="4"/>
      <c r="D12" s="4"/>
      <c r="E12" s="4"/>
      <c r="F12" s="4"/>
      <c r="G12" s="4"/>
      <c r="H12" s="4"/>
      <c r="I12" s="4"/>
      <c r="J12" s="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30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167</v>
      </c>
      <c r="B3" s="3" t="s">
        <v>327</v>
      </c>
      <c r="C3" s="3" t="s">
        <v>328</v>
      </c>
      <c r="D3" s="3" t="s">
        <v>329</v>
      </c>
      <c r="E3" s="3" t="s">
        <v>330</v>
      </c>
    </row>
    <row r="4" customFormat="false" ht="15" hidden="false" customHeight="false" outlineLevel="0" collapsed="false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</row>
    <row r="5" customFormat="false" ht="15" hidden="false" customHeight="false" outlineLevel="0" collapsed="false">
      <c r="A5" s="5" t="s">
        <v>331</v>
      </c>
      <c r="B5" s="5" t="s">
        <v>336</v>
      </c>
      <c r="C5" s="5" t="s">
        <v>337</v>
      </c>
      <c r="D5" s="5" t="s">
        <v>338</v>
      </c>
      <c r="E5" s="5" t="s">
        <v>339</v>
      </c>
    </row>
    <row r="6" customFormat="false" ht="15" hidden="false" customHeight="false" outlineLevel="0" collapsed="false">
      <c r="A6" s="4" t="s">
        <v>331</v>
      </c>
      <c r="B6" s="4" t="s">
        <v>340</v>
      </c>
      <c r="C6" s="4" t="s">
        <v>341</v>
      </c>
      <c r="D6" s="4" t="s">
        <v>342</v>
      </c>
      <c r="E6" s="4" t="s">
        <v>343</v>
      </c>
    </row>
    <row r="7" customFormat="false" ht="15" hidden="false" customHeight="false" outlineLevel="0" collapsed="false">
      <c r="A7" s="5" t="s">
        <v>331</v>
      </c>
      <c r="B7" s="5" t="s">
        <v>344</v>
      </c>
      <c r="C7" s="5" t="s">
        <v>345</v>
      </c>
      <c r="D7" s="5" t="s">
        <v>346</v>
      </c>
      <c r="E7" s="5" t="s">
        <v>347</v>
      </c>
    </row>
    <row r="8" customFormat="false" ht="15" hidden="false" customHeight="false" outlineLevel="0" collapsed="false">
      <c r="A8" s="4" t="s">
        <v>331</v>
      </c>
      <c r="B8" s="4" t="s">
        <v>348</v>
      </c>
      <c r="C8" s="4" t="s">
        <v>349</v>
      </c>
      <c r="D8" s="4" t="s">
        <v>350</v>
      </c>
      <c r="E8" s="4" t="s">
        <v>351</v>
      </c>
    </row>
    <row r="9" customFormat="false" ht="15" hidden="false" customHeight="false" outlineLevel="0" collapsed="false">
      <c r="A9" s="5" t="s">
        <v>331</v>
      </c>
      <c r="B9" s="5" t="s">
        <v>352</v>
      </c>
      <c r="C9" s="5" t="s">
        <v>353</v>
      </c>
      <c r="D9" s="5" t="s">
        <v>342</v>
      </c>
      <c r="E9" s="5" t="s">
        <v>354</v>
      </c>
    </row>
    <row r="10" customFormat="false" ht="15" hidden="false" customHeight="false" outlineLevel="0" collapsed="false">
      <c r="A10" s="4" t="s">
        <v>331</v>
      </c>
      <c r="B10" s="4" t="s">
        <v>355</v>
      </c>
      <c r="C10" s="4" t="s">
        <v>356</v>
      </c>
      <c r="D10" s="4" t="s">
        <v>357</v>
      </c>
      <c r="E10" s="4" t="s">
        <v>358</v>
      </c>
    </row>
    <row r="11" customFormat="false" ht="15" hidden="false" customHeight="false" outlineLevel="0" collapsed="false">
      <c r="A11" s="5" t="s">
        <v>331</v>
      </c>
      <c r="B11" s="5" t="s">
        <v>359</v>
      </c>
      <c r="C11" s="5" t="s">
        <v>360</v>
      </c>
      <c r="D11" s="5" t="s">
        <v>361</v>
      </c>
      <c r="E11" s="5" t="s">
        <v>362</v>
      </c>
    </row>
    <row r="12" customFormat="false" ht="15" hidden="false" customHeight="false" outlineLevel="0" collapsed="false">
      <c r="A12" s="4" t="s">
        <v>363</v>
      </c>
      <c r="B12" s="4" t="s">
        <v>364</v>
      </c>
      <c r="C12" s="4" t="s">
        <v>364</v>
      </c>
      <c r="D12" s="4" t="s">
        <v>365</v>
      </c>
      <c r="E12" s="4" t="s">
        <v>366</v>
      </c>
    </row>
    <row r="13" customFormat="false" ht="15" hidden="false" customHeight="false" outlineLevel="0" collapsed="false">
      <c r="A13" s="5" t="s">
        <v>363</v>
      </c>
      <c r="B13" s="5" t="s">
        <v>367</v>
      </c>
      <c r="C13" s="5" t="s">
        <v>368</v>
      </c>
      <c r="D13" s="5" t="s">
        <v>369</v>
      </c>
      <c r="E13" s="5" t="s">
        <v>370</v>
      </c>
    </row>
    <row r="14" customFormat="false" ht="15" hidden="false" customHeight="false" outlineLevel="0" collapsed="false">
      <c r="A14" s="4" t="s">
        <v>363</v>
      </c>
      <c r="B14" s="4" t="s">
        <v>371</v>
      </c>
      <c r="C14" s="4" t="s">
        <v>372</v>
      </c>
      <c r="D14" s="4" t="s">
        <v>373</v>
      </c>
      <c r="E14" s="4" t="s">
        <v>374</v>
      </c>
    </row>
    <row r="15" customFormat="false" ht="15" hidden="false" customHeight="false" outlineLevel="0" collapsed="false">
      <c r="A15" s="5" t="s">
        <v>363</v>
      </c>
      <c r="B15" s="5" t="s">
        <v>375</v>
      </c>
      <c r="C15" s="5" t="s">
        <v>376</v>
      </c>
      <c r="D15" s="5" t="s">
        <v>377</v>
      </c>
      <c r="E15" s="5" t="s">
        <v>378</v>
      </c>
    </row>
    <row r="16" customFormat="false" ht="15" hidden="false" customHeight="false" outlineLevel="0" collapsed="false">
      <c r="A16" s="4" t="s">
        <v>363</v>
      </c>
      <c r="B16" s="4" t="s">
        <v>379</v>
      </c>
      <c r="C16" s="4" t="s">
        <v>380</v>
      </c>
      <c r="D16" s="4" t="s">
        <v>381</v>
      </c>
      <c r="E16" s="4" t="s">
        <v>382</v>
      </c>
    </row>
    <row r="17" customFormat="false" ht="15" hidden="false" customHeight="false" outlineLevel="0" collapsed="false">
      <c r="A17" s="5" t="s">
        <v>363</v>
      </c>
      <c r="B17" s="5" t="s">
        <v>383</v>
      </c>
      <c r="C17" s="5" t="s">
        <v>384</v>
      </c>
      <c r="D17" s="5" t="s">
        <v>385</v>
      </c>
      <c r="E17" s="5" t="s">
        <v>386</v>
      </c>
    </row>
    <row r="18" customFormat="false" ht="15" hidden="false" customHeight="false" outlineLevel="0" collapsed="false">
      <c r="A18" s="4" t="s">
        <v>387</v>
      </c>
      <c r="B18" s="4" t="s">
        <v>388</v>
      </c>
      <c r="C18" s="4" t="s">
        <v>389</v>
      </c>
      <c r="D18" s="4" t="s">
        <v>390</v>
      </c>
      <c r="E18" s="4" t="s">
        <v>391</v>
      </c>
    </row>
    <row r="19" customFormat="false" ht="15" hidden="false" customHeight="false" outlineLevel="0" collapsed="false">
      <c r="A19" s="5" t="s">
        <v>387</v>
      </c>
      <c r="B19" s="5" t="s">
        <v>392</v>
      </c>
      <c r="C19" s="5" t="s">
        <v>393</v>
      </c>
      <c r="D19" s="5" t="s">
        <v>394</v>
      </c>
      <c r="E19" s="5" t="s">
        <v>395</v>
      </c>
    </row>
    <row r="20" customFormat="false" ht="15" hidden="false" customHeight="false" outlineLevel="0" collapsed="false">
      <c r="A20" s="4" t="s">
        <v>387</v>
      </c>
      <c r="B20" s="4" t="s">
        <v>396</v>
      </c>
      <c r="C20" s="4" t="s">
        <v>397</v>
      </c>
      <c r="D20" s="4" t="s">
        <v>398</v>
      </c>
      <c r="E20" s="4" t="s">
        <v>399</v>
      </c>
    </row>
    <row r="21" customFormat="false" ht="15" hidden="false" customHeight="false" outlineLevel="0" collapsed="false">
      <c r="A21" s="5" t="s">
        <v>387</v>
      </c>
      <c r="B21" s="5" t="s">
        <v>400</v>
      </c>
      <c r="C21" s="5" t="s">
        <v>401</v>
      </c>
      <c r="D21" s="5" t="s">
        <v>357</v>
      </c>
      <c r="E21" s="5" t="s">
        <v>402</v>
      </c>
    </row>
    <row r="22" customFormat="false" ht="15" hidden="false" customHeight="false" outlineLevel="0" collapsed="false">
      <c r="A22" s="4" t="s">
        <v>387</v>
      </c>
      <c r="B22" s="4" t="s">
        <v>403</v>
      </c>
      <c r="C22" s="4" t="s">
        <v>404</v>
      </c>
      <c r="D22" s="4" t="s">
        <v>405</v>
      </c>
      <c r="E22" s="4" t="s">
        <v>406</v>
      </c>
    </row>
    <row r="23" customFormat="false" ht="15" hidden="false" customHeight="false" outlineLevel="0" collapsed="false">
      <c r="A23" s="5" t="s">
        <v>387</v>
      </c>
      <c r="B23" s="5" t="s">
        <v>407</v>
      </c>
      <c r="C23" s="5" t="s">
        <v>408</v>
      </c>
      <c r="D23" s="5" t="s">
        <v>398</v>
      </c>
      <c r="E23" s="5" t="s">
        <v>409</v>
      </c>
    </row>
    <row r="24" customFormat="false" ht="15" hidden="false" customHeight="false" outlineLevel="0" collapsed="false">
      <c r="A24" s="4" t="s">
        <v>387</v>
      </c>
      <c r="B24" s="4" t="s">
        <v>410</v>
      </c>
      <c r="C24" s="4" t="s">
        <v>411</v>
      </c>
      <c r="D24" s="4" t="s">
        <v>357</v>
      </c>
      <c r="E24" s="4" t="s">
        <v>412</v>
      </c>
    </row>
    <row r="25" customFormat="false" ht="15" hidden="false" customHeight="false" outlineLevel="0" collapsed="false">
      <c r="A25" s="5" t="s">
        <v>413</v>
      </c>
      <c r="B25" s="5" t="s">
        <v>414</v>
      </c>
      <c r="C25" s="5" t="s">
        <v>415</v>
      </c>
      <c r="D25" s="5" t="s">
        <v>416</v>
      </c>
      <c r="E25" s="5" t="s">
        <v>417</v>
      </c>
    </row>
    <row r="26" customFormat="false" ht="15" hidden="false" customHeight="false" outlineLevel="0" collapsed="false">
      <c r="A26" s="4" t="s">
        <v>413</v>
      </c>
      <c r="B26" s="4" t="s">
        <v>418</v>
      </c>
      <c r="C26" s="4" t="s">
        <v>419</v>
      </c>
      <c r="D26" s="4" t="s">
        <v>420</v>
      </c>
      <c r="E26" s="4" t="s">
        <v>421</v>
      </c>
    </row>
    <row r="27" customFormat="false" ht="15" hidden="false" customHeight="false" outlineLevel="0" collapsed="false">
      <c r="A27" s="5" t="s">
        <v>413</v>
      </c>
      <c r="B27" s="5" t="s">
        <v>422</v>
      </c>
      <c r="C27" s="5" t="s">
        <v>423</v>
      </c>
      <c r="D27" s="5" t="s">
        <v>420</v>
      </c>
      <c r="E27" s="5" t="s">
        <v>424</v>
      </c>
    </row>
    <row r="28" customFormat="false" ht="15" hidden="false" customHeight="false" outlineLevel="0" collapsed="false">
      <c r="A28" s="4" t="s">
        <v>413</v>
      </c>
      <c r="B28" s="4" t="s">
        <v>425</v>
      </c>
      <c r="C28" s="4" t="s">
        <v>426</v>
      </c>
      <c r="D28" s="4" t="s">
        <v>420</v>
      </c>
      <c r="E28" s="4" t="s">
        <v>427</v>
      </c>
    </row>
    <row r="29" customFormat="false" ht="15" hidden="false" customHeight="false" outlineLevel="0" collapsed="false">
      <c r="A29" s="5" t="s">
        <v>413</v>
      </c>
      <c r="B29" s="5" t="s">
        <v>428</v>
      </c>
      <c r="C29" s="5" t="s">
        <v>429</v>
      </c>
      <c r="D29" s="5" t="s">
        <v>420</v>
      </c>
      <c r="E29" s="5" t="s">
        <v>430</v>
      </c>
    </row>
    <row r="30" customFormat="false" ht="15" hidden="false" customHeight="false" outlineLevel="0" collapsed="false">
      <c r="A30" s="4" t="s">
        <v>413</v>
      </c>
      <c r="B30" s="4" t="s">
        <v>431</v>
      </c>
      <c r="C30" s="4" t="s">
        <v>432</v>
      </c>
      <c r="D30" s="4" t="s">
        <v>420</v>
      </c>
      <c r="E30" s="4" t="s">
        <v>433</v>
      </c>
    </row>
    <row r="31" customFormat="false" ht="15" hidden="false" customHeight="false" outlineLevel="0" collapsed="false">
      <c r="A31" s="5" t="s">
        <v>413</v>
      </c>
      <c r="B31" s="5" t="s">
        <v>434</v>
      </c>
      <c r="C31" s="5" t="s">
        <v>435</v>
      </c>
      <c r="D31" s="5" t="s">
        <v>420</v>
      </c>
      <c r="E31" s="5" t="s">
        <v>436</v>
      </c>
    </row>
    <row r="32" customFormat="false" ht="15" hidden="false" customHeight="false" outlineLevel="0" collapsed="false">
      <c r="A32" s="4" t="s">
        <v>413</v>
      </c>
      <c r="B32" s="4" t="s">
        <v>437</v>
      </c>
      <c r="C32" s="4" t="s">
        <v>438</v>
      </c>
      <c r="D32" s="4" t="s">
        <v>420</v>
      </c>
      <c r="E32" s="4" t="s">
        <v>439</v>
      </c>
    </row>
    <row r="33" customFormat="false" ht="15" hidden="false" customHeight="false" outlineLevel="0" collapsed="false">
      <c r="A33" s="5" t="s">
        <v>440</v>
      </c>
      <c r="B33" s="5" t="s">
        <v>355</v>
      </c>
      <c r="C33" s="5" t="s">
        <v>441</v>
      </c>
      <c r="D33" s="5" t="s">
        <v>357</v>
      </c>
      <c r="E33" s="5" t="s">
        <v>442</v>
      </c>
    </row>
    <row r="34" customFormat="false" ht="15" hidden="false" customHeight="false" outlineLevel="0" collapsed="false">
      <c r="A34" s="4" t="s">
        <v>440</v>
      </c>
      <c r="B34" s="4" t="s">
        <v>443</v>
      </c>
      <c r="C34" s="4" t="s">
        <v>444</v>
      </c>
      <c r="D34" s="4" t="s">
        <v>445</v>
      </c>
      <c r="E34" s="4" t="s">
        <v>446</v>
      </c>
    </row>
    <row r="35" customFormat="false" ht="15" hidden="false" customHeight="false" outlineLevel="0" collapsed="false">
      <c r="A35" s="5" t="s">
        <v>440</v>
      </c>
      <c r="B35" s="5" t="s">
        <v>447</v>
      </c>
      <c r="C35" s="5" t="s">
        <v>448</v>
      </c>
      <c r="D35" s="5" t="s">
        <v>449</v>
      </c>
      <c r="E35" s="5" t="s">
        <v>450</v>
      </c>
    </row>
    <row r="36" customFormat="false" ht="15" hidden="false" customHeight="false" outlineLevel="0" collapsed="false">
      <c r="A36" s="4" t="s">
        <v>440</v>
      </c>
      <c r="B36" s="4" t="s">
        <v>451</v>
      </c>
      <c r="C36" s="4" t="s">
        <v>452</v>
      </c>
      <c r="D36" s="4" t="s">
        <v>453</v>
      </c>
      <c r="E36" s="4" t="s">
        <v>454</v>
      </c>
    </row>
    <row r="37" customFormat="false" ht="15" hidden="false" customHeight="false" outlineLevel="0" collapsed="false">
      <c r="A37" s="5" t="s">
        <v>440</v>
      </c>
      <c r="B37" s="5" t="s">
        <v>455</v>
      </c>
      <c r="C37" s="5" t="s">
        <v>456</v>
      </c>
      <c r="D37" s="5" t="s">
        <v>457</v>
      </c>
      <c r="E37" s="5" t="s">
        <v>458</v>
      </c>
    </row>
    <row r="38" customFormat="false" ht="15" hidden="false" customHeight="false" outlineLevel="0" collapsed="false">
      <c r="A38" s="4" t="s">
        <v>459</v>
      </c>
      <c r="B38" s="4" t="s">
        <v>460</v>
      </c>
      <c r="C38" s="4" t="s">
        <v>461</v>
      </c>
      <c r="D38" s="4" t="s">
        <v>462</v>
      </c>
      <c r="E38" s="4" t="s">
        <v>463</v>
      </c>
    </row>
    <row r="39" customFormat="false" ht="15" hidden="false" customHeight="false" outlineLevel="0" collapsed="false">
      <c r="A39" s="5" t="s">
        <v>459</v>
      </c>
      <c r="B39" s="5" t="s">
        <v>464</v>
      </c>
      <c r="C39" s="5" t="s">
        <v>465</v>
      </c>
      <c r="D39" s="5" t="s">
        <v>466</v>
      </c>
      <c r="E39" s="5" t="s">
        <v>467</v>
      </c>
    </row>
    <row r="40" customFormat="false" ht="15" hidden="false" customHeight="false" outlineLevel="0" collapsed="false">
      <c r="A40" s="4" t="s">
        <v>459</v>
      </c>
      <c r="B40" s="4" t="s">
        <v>468</v>
      </c>
      <c r="C40" s="4" t="s">
        <v>469</v>
      </c>
      <c r="D40" s="4" t="s">
        <v>470</v>
      </c>
      <c r="E40" s="4" t="s">
        <v>471</v>
      </c>
    </row>
    <row r="41" customFormat="false" ht="15" hidden="false" customHeight="false" outlineLevel="0" collapsed="false">
      <c r="A41" s="5" t="s">
        <v>459</v>
      </c>
      <c r="B41" s="5" t="s">
        <v>472</v>
      </c>
      <c r="C41" s="5" t="s">
        <v>473</v>
      </c>
      <c r="D41" s="5" t="s">
        <v>474</v>
      </c>
      <c r="E41" s="5" t="s">
        <v>475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0" min="2" style="0" width="10"/>
  </cols>
  <sheetData>
    <row r="1" customFormat="false" ht="30" hidden="false" customHeight="true" outlineLevel="0" collapsed="false">
      <c r="A1" s="1" t="s">
        <v>476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477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9" t="s">
        <v>478</v>
      </c>
      <c r="B3" s="9"/>
      <c r="C3" s="9"/>
      <c r="D3" s="9"/>
      <c r="E3" s="9"/>
      <c r="F3" s="9"/>
      <c r="G3" s="9"/>
      <c r="H3" s="9"/>
      <c r="I3" s="9"/>
      <c r="J3" s="9"/>
    </row>
    <row r="4" customFormat="false" ht="18" hidden="false" customHeight="true" outlineLevel="0" collapsed="false">
      <c r="A4" s="10" t="s">
        <v>479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 t="s">
        <v>480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 t="s">
        <v>481</v>
      </c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 t="s">
        <v>482</v>
      </c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 t="s">
        <v>483</v>
      </c>
      <c r="B8" s="11"/>
      <c r="C8" s="11"/>
      <c r="D8" s="11"/>
      <c r="E8" s="11"/>
      <c r="F8" s="11"/>
      <c r="G8" s="11"/>
      <c r="H8" s="11"/>
      <c r="I8" s="11"/>
      <c r="J8" s="11"/>
    </row>
    <row r="10" customFormat="false" ht="21.75" hidden="false" customHeight="true" outlineLevel="0" collapsed="false">
      <c r="A10" s="9" t="s">
        <v>484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8" hidden="false" customHeight="true" outlineLevel="0" collapsed="false">
      <c r="A11" s="10" t="s">
        <v>485</v>
      </c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 t="s">
        <v>486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 t="s">
        <v>487</v>
      </c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 t="s">
        <v>488</v>
      </c>
      <c r="B14" s="11"/>
      <c r="C14" s="11"/>
      <c r="D14" s="11"/>
      <c r="E14" s="11"/>
      <c r="F14" s="11"/>
      <c r="G14" s="11"/>
      <c r="H14" s="11"/>
      <c r="I14" s="11"/>
      <c r="J14" s="11"/>
    </row>
    <row r="16" customFormat="false" ht="21.75" hidden="false" customHeight="true" outlineLevel="0" collapsed="false">
      <c r="A16" s="9" t="s">
        <v>489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8" hidden="false" customHeight="true" outlineLevel="0" collapsed="false">
      <c r="A17" s="10" t="s">
        <v>490</v>
      </c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 t="s">
        <v>491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 t="s">
        <v>492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 t="s">
        <v>493</v>
      </c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 t="s">
        <v>494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 t="s">
        <v>495</v>
      </c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 t="s">
        <v>496</v>
      </c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 t="s">
        <v>497</v>
      </c>
      <c r="B24" s="11"/>
      <c r="C24" s="11"/>
      <c r="D24" s="11"/>
      <c r="E24" s="11"/>
      <c r="F24" s="11"/>
      <c r="G24" s="11"/>
      <c r="H24" s="11"/>
      <c r="I24" s="11"/>
      <c r="J24" s="11"/>
    </row>
    <row r="26" customFormat="false" ht="21.75" hidden="false" customHeight="true" outlineLevel="0" collapsed="false">
      <c r="A26" s="9" t="s">
        <v>498</v>
      </c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8" hidden="false" customHeight="true" outlineLevel="0" collapsed="false">
      <c r="A27" s="10" t="s">
        <v>499</v>
      </c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 t="s">
        <v>500</v>
      </c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 t="s">
        <v>501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 t="s">
        <v>502</v>
      </c>
      <c r="B30" s="11"/>
      <c r="C30" s="11"/>
      <c r="D30" s="11"/>
      <c r="E30" s="11"/>
      <c r="F30" s="11"/>
      <c r="G30" s="11"/>
      <c r="H30" s="11"/>
      <c r="I30" s="11"/>
      <c r="J30" s="11"/>
    </row>
    <row r="32" customFormat="false" ht="21.75" hidden="false" customHeight="true" outlineLevel="0" collapsed="false">
      <c r="A32" s="9" t="s">
        <v>503</v>
      </c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8" hidden="false" customHeight="true" outlineLevel="0" collapsed="false">
      <c r="A33" s="10" t="s">
        <v>504</v>
      </c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 t="s">
        <v>505</v>
      </c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 t="s">
        <v>506</v>
      </c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 t="s">
        <v>507</v>
      </c>
      <c r="B36" s="11"/>
      <c r="C36" s="11"/>
      <c r="D36" s="11"/>
      <c r="E36" s="11"/>
      <c r="F36" s="11"/>
      <c r="G36" s="11"/>
      <c r="H36" s="11"/>
      <c r="I36" s="11"/>
      <c r="J36" s="11"/>
    </row>
    <row r="38" customFormat="false" ht="21.75" hidden="false" customHeight="true" outlineLevel="0" collapsed="false">
      <c r="A38" s="9" t="s">
        <v>508</v>
      </c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8" hidden="false" customHeight="true" outlineLevel="0" collapsed="false">
      <c r="A39" s="10" t="s">
        <v>509</v>
      </c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 t="s">
        <v>510</v>
      </c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 t="s">
        <v>511</v>
      </c>
      <c r="B41" s="11"/>
      <c r="C41" s="11"/>
      <c r="D41" s="11"/>
      <c r="E41" s="11"/>
      <c r="F41" s="11"/>
      <c r="G41" s="11"/>
      <c r="H41" s="11"/>
      <c r="I41" s="11"/>
      <c r="J41" s="11"/>
    </row>
    <row r="43" customFormat="false" ht="21.75" hidden="false" customHeight="true" outlineLevel="0" collapsed="false">
      <c r="A43" s="9" t="s">
        <v>512</v>
      </c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8" hidden="false" customHeight="true" outlineLevel="0" collapsed="false">
      <c r="A44" s="10" t="s">
        <v>513</v>
      </c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 t="s">
        <v>514</v>
      </c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 t="s">
        <v>515</v>
      </c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 t="s">
        <v>516</v>
      </c>
      <c r="B47" s="11"/>
      <c r="C47" s="11"/>
      <c r="D47" s="11"/>
      <c r="E47" s="11"/>
      <c r="F47" s="11"/>
      <c r="G47" s="11"/>
      <c r="H47" s="11"/>
      <c r="I47" s="11"/>
      <c r="J47" s="11"/>
    </row>
  </sheetData>
  <mergeCells count="41">
    <mergeCell ref="A1:J1"/>
    <mergeCell ref="A2:J2"/>
    <mergeCell ref="A3:J3"/>
    <mergeCell ref="B4:J4"/>
    <mergeCell ref="B5:J5"/>
    <mergeCell ref="B6:J6"/>
    <mergeCell ref="B7:J7"/>
    <mergeCell ref="B8:J8"/>
    <mergeCell ref="A10:J10"/>
    <mergeCell ref="B11:J11"/>
    <mergeCell ref="B12:J12"/>
    <mergeCell ref="B13:J13"/>
    <mergeCell ref="B14:J14"/>
    <mergeCell ref="A16:J16"/>
    <mergeCell ref="B17:J17"/>
    <mergeCell ref="B18:J18"/>
    <mergeCell ref="B19:J19"/>
    <mergeCell ref="B20:J20"/>
    <mergeCell ref="B21:J21"/>
    <mergeCell ref="B22:J22"/>
    <mergeCell ref="B23:J23"/>
    <mergeCell ref="B24:J24"/>
    <mergeCell ref="A26:J26"/>
    <mergeCell ref="B27:J27"/>
    <mergeCell ref="B28:J28"/>
    <mergeCell ref="B29:J29"/>
    <mergeCell ref="B30:J30"/>
    <mergeCell ref="A32:J32"/>
    <mergeCell ref="B33:J33"/>
    <mergeCell ref="B34:J34"/>
    <mergeCell ref="B35:J35"/>
    <mergeCell ref="B36:J36"/>
    <mergeCell ref="A38:J38"/>
    <mergeCell ref="B39:J39"/>
    <mergeCell ref="B40:J40"/>
    <mergeCell ref="B41:J41"/>
    <mergeCell ref="A43:J43"/>
    <mergeCell ref="B44:J44"/>
    <mergeCell ref="B45:J45"/>
    <mergeCell ref="B46:J46"/>
    <mergeCell ref="B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517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518</v>
      </c>
      <c r="B3" s="3" t="s">
        <v>519</v>
      </c>
      <c r="C3" s="3" t="s">
        <v>520</v>
      </c>
      <c r="D3" s="3" t="s">
        <v>521</v>
      </c>
      <c r="E3" s="3" t="s">
        <v>329</v>
      </c>
      <c r="F3" s="3" t="s">
        <v>101</v>
      </c>
    </row>
    <row r="4" customFormat="false" ht="15" hidden="false" customHeight="false" outlineLevel="0" collapsed="false">
      <c r="A4" s="4" t="n">
        <v>1</v>
      </c>
      <c r="B4" s="4" t="s">
        <v>522</v>
      </c>
      <c r="C4" s="4"/>
      <c r="D4" s="4" t="s">
        <v>523</v>
      </c>
      <c r="E4" s="12" t="str">
        <f aca="false">IF(C4=D4,"Correct","Review")</f>
        <v>Review</v>
      </c>
      <c r="F4" s="4"/>
    </row>
    <row r="5" customFormat="false" ht="15" hidden="false" customHeight="false" outlineLevel="0" collapsed="false">
      <c r="A5" s="5" t="n">
        <v>2</v>
      </c>
      <c r="B5" s="5" t="s">
        <v>524</v>
      </c>
      <c r="C5" s="5"/>
      <c r="D5" s="5" t="s">
        <v>525</v>
      </c>
      <c r="E5" s="13" t="str">
        <f aca="false">IF(C5=D5,"Correct","Review")</f>
        <v>Review</v>
      </c>
      <c r="F5" s="5"/>
    </row>
    <row r="6" customFormat="false" ht="15" hidden="false" customHeight="false" outlineLevel="0" collapsed="false">
      <c r="A6" s="4" t="n">
        <v>3</v>
      </c>
      <c r="B6" s="4" t="s">
        <v>526</v>
      </c>
      <c r="C6" s="4"/>
      <c r="D6" s="4" t="s">
        <v>527</v>
      </c>
      <c r="E6" s="12" t="str">
        <f aca="false">IF(C6=D6,"Correct","Review")</f>
        <v>Review</v>
      </c>
      <c r="F6" s="4"/>
    </row>
    <row r="7" customFormat="false" ht="15" hidden="false" customHeight="false" outlineLevel="0" collapsed="false">
      <c r="A7" s="5" t="n">
        <v>4</v>
      </c>
      <c r="B7" s="5" t="s">
        <v>528</v>
      </c>
      <c r="C7" s="5"/>
      <c r="D7" s="5" t="s">
        <v>529</v>
      </c>
      <c r="E7" s="13" t="str">
        <f aca="false">IF(C7=D7,"Correct","Review")</f>
        <v>Review</v>
      </c>
      <c r="F7" s="5"/>
    </row>
    <row r="8" customFormat="false" ht="15" hidden="false" customHeight="false" outlineLevel="0" collapsed="false">
      <c r="A8" s="4" t="n">
        <v>5</v>
      </c>
      <c r="B8" s="4" t="s">
        <v>530</v>
      </c>
      <c r="C8" s="4"/>
      <c r="D8" s="4" t="s">
        <v>531</v>
      </c>
      <c r="E8" s="12" t="str">
        <f aca="false">IF(C8=D8,"Correct","Review")</f>
        <v>Review</v>
      </c>
      <c r="F8" s="4"/>
    </row>
    <row r="9" customFormat="false" ht="15" hidden="false" customHeight="false" outlineLevel="0" collapsed="false">
      <c r="A9" s="5" t="n">
        <v>6</v>
      </c>
      <c r="B9" s="5" t="s">
        <v>532</v>
      </c>
      <c r="C9" s="5"/>
      <c r="D9" s="5" t="s">
        <v>533</v>
      </c>
      <c r="E9" s="13" t="str">
        <f aca="false">IF(C9=D9,"Correct","Review")</f>
        <v>Review</v>
      </c>
      <c r="F9" s="5"/>
    </row>
    <row r="10" customFormat="false" ht="15" hidden="false" customHeight="false" outlineLevel="0" collapsed="false">
      <c r="A10" s="4" t="n">
        <v>7</v>
      </c>
      <c r="B10" s="4" t="s">
        <v>534</v>
      </c>
      <c r="C10" s="4"/>
      <c r="D10" s="4" t="s">
        <v>535</v>
      </c>
      <c r="E10" s="12" t="str">
        <f aca="false">IF(C10=D10,"Correct","Review")</f>
        <v>Review</v>
      </c>
      <c r="F10" s="4"/>
    </row>
    <row r="11" customFormat="false" ht="15" hidden="false" customHeight="false" outlineLevel="0" collapsed="false">
      <c r="A11" s="5" t="n">
        <v>8</v>
      </c>
      <c r="B11" s="5" t="s">
        <v>536</v>
      </c>
      <c r="C11" s="5"/>
      <c r="D11" s="5" t="s">
        <v>537</v>
      </c>
      <c r="E11" s="13" t="str">
        <f aca="false">IF(C11=D11,"Correct","Review")</f>
        <v>Review</v>
      </c>
      <c r="F11" s="5"/>
    </row>
    <row r="12" customFormat="false" ht="15" hidden="false" customHeight="false" outlineLevel="0" collapsed="false">
      <c r="A12" s="4" t="n">
        <v>9</v>
      </c>
      <c r="B12" s="4" t="s">
        <v>538</v>
      </c>
      <c r="C12" s="4"/>
      <c r="D12" s="4" t="s">
        <v>539</v>
      </c>
      <c r="E12" s="12" t="str">
        <f aca="false">IF(C12=D12,"Correct","Review")</f>
        <v>Review</v>
      </c>
      <c r="F12" s="4"/>
    </row>
    <row r="13" customFormat="false" ht="15" hidden="false" customHeight="false" outlineLevel="0" collapsed="false">
      <c r="A13" s="5" t="n">
        <v>10</v>
      </c>
      <c r="B13" s="5" t="s">
        <v>540</v>
      </c>
      <c r="C13" s="5"/>
      <c r="D13" s="5" t="s">
        <v>541</v>
      </c>
      <c r="E13" s="13" t="str">
        <f aca="false">IF(C13=D13,"Correct","Review")</f>
        <v>Review</v>
      </c>
      <c r="F13" s="5"/>
    </row>
    <row r="14" customFormat="false" ht="15" hidden="false" customHeight="false" outlineLevel="0" collapsed="false">
      <c r="A14" s="4" t="n">
        <v>11</v>
      </c>
      <c r="B14" s="4" t="s">
        <v>542</v>
      </c>
      <c r="C14" s="4"/>
      <c r="D14" s="4" t="s">
        <v>543</v>
      </c>
      <c r="E14" s="12" t="str">
        <f aca="false">IF(C14=D14,"Correct","Review")</f>
        <v>Review</v>
      </c>
      <c r="F14" s="4"/>
    </row>
    <row r="15" customFormat="false" ht="15" hidden="false" customHeight="false" outlineLevel="0" collapsed="false">
      <c r="A15" s="5" t="n">
        <v>12</v>
      </c>
      <c r="B15" s="5" t="s">
        <v>544</v>
      </c>
      <c r="C15" s="5"/>
      <c r="D15" s="5" t="s">
        <v>545</v>
      </c>
      <c r="E15" s="13" t="str">
        <f aca="false">IF(C15=D15,"Correct","Review")</f>
        <v>Review</v>
      </c>
      <c r="F15" s="5"/>
    </row>
    <row r="16" customFormat="false" ht="15" hidden="false" customHeight="false" outlineLevel="0" collapsed="false">
      <c r="A16" s="4" t="n">
        <v>13</v>
      </c>
      <c r="B16" s="4" t="s">
        <v>546</v>
      </c>
      <c r="C16" s="4"/>
      <c r="D16" s="4" t="s">
        <v>547</v>
      </c>
      <c r="E16" s="12" t="str">
        <f aca="false">IF(C16=D16,"Correct","Review")</f>
        <v>Review</v>
      </c>
      <c r="F16" s="4"/>
    </row>
    <row r="17" customFormat="false" ht="15" hidden="false" customHeight="false" outlineLevel="0" collapsed="false">
      <c r="A17" s="5" t="n">
        <v>14</v>
      </c>
      <c r="B17" s="5" t="s">
        <v>548</v>
      </c>
      <c r="C17" s="5"/>
      <c r="D17" s="5" t="s">
        <v>549</v>
      </c>
      <c r="E17" s="13" t="str">
        <f aca="false">IF(C17=D17,"Correct","Review")</f>
        <v>Review</v>
      </c>
      <c r="F17" s="5"/>
    </row>
    <row r="18" customFormat="false" ht="15" hidden="false" customHeight="false" outlineLevel="0" collapsed="false">
      <c r="A18" s="4" t="n">
        <v>15</v>
      </c>
      <c r="B18" s="4" t="s">
        <v>550</v>
      </c>
      <c r="C18" s="4"/>
      <c r="D18" s="4" t="s">
        <v>551</v>
      </c>
      <c r="E18" s="12" t="str">
        <f aca="false">IF(C18=D18,"Correct","Review")</f>
        <v>Review</v>
      </c>
      <c r="F18" s="4"/>
    </row>
    <row r="19" customFormat="false" ht="15" hidden="false" customHeight="false" outlineLevel="0" collapsed="false">
      <c r="A19" s="5" t="n">
        <v>16</v>
      </c>
      <c r="B19" s="5" t="s">
        <v>552</v>
      </c>
      <c r="C19" s="5"/>
      <c r="D19" s="5" t="s">
        <v>553</v>
      </c>
      <c r="E19" s="13" t="str">
        <f aca="false">IF(C19=D19,"Correct","Review")</f>
        <v>Review</v>
      </c>
      <c r="F19" s="5"/>
    </row>
    <row r="20" customFormat="false" ht="15" hidden="false" customHeight="false" outlineLevel="0" collapsed="false">
      <c r="A20" s="4" t="n">
        <v>17</v>
      </c>
      <c r="B20" s="4" t="s">
        <v>554</v>
      </c>
      <c r="C20" s="4"/>
      <c r="D20" s="4" t="s">
        <v>555</v>
      </c>
      <c r="E20" s="12" t="str">
        <f aca="false">IF(C20=D20,"Correct","Review")</f>
        <v>Review</v>
      </c>
      <c r="F20" s="4"/>
    </row>
    <row r="21" customFormat="false" ht="15" hidden="false" customHeight="false" outlineLevel="0" collapsed="false">
      <c r="A21" s="5" t="n">
        <v>18</v>
      </c>
      <c r="B21" s="5" t="s">
        <v>556</v>
      </c>
      <c r="C21" s="5"/>
      <c r="D21" s="5" t="s">
        <v>557</v>
      </c>
      <c r="E21" s="13" t="str">
        <f aca="false">IF(C21=D21,"Correct","Review")</f>
        <v>Review</v>
      </c>
      <c r="F21" s="5"/>
    </row>
    <row r="22" customFormat="false" ht="15" hidden="false" customHeight="false" outlineLevel="0" collapsed="false">
      <c r="A22" s="4" t="n">
        <v>19</v>
      </c>
      <c r="B22" s="4" t="s">
        <v>558</v>
      </c>
      <c r="C22" s="4"/>
      <c r="D22" s="4" t="s">
        <v>559</v>
      </c>
      <c r="E22" s="12" t="str">
        <f aca="false">IF(C22=D22,"Correct","Review")</f>
        <v>Review</v>
      </c>
      <c r="F22" s="4"/>
    </row>
    <row r="23" customFormat="false" ht="15" hidden="false" customHeight="false" outlineLevel="0" collapsed="false">
      <c r="A23" s="5" t="n">
        <v>20</v>
      </c>
      <c r="B23" s="5" t="s">
        <v>560</v>
      </c>
      <c r="C23" s="5"/>
      <c r="D23" s="5" t="s">
        <v>561</v>
      </c>
      <c r="E23" s="13" t="str">
        <f aca="false">IF(C23=D23,"Correct","Review")</f>
        <v>Review</v>
      </c>
      <c r="F23" s="5"/>
    </row>
    <row r="24" customFormat="false" ht="15" hidden="false" customHeight="true" outlineLevel="0" collapsed="false">
      <c r="A24" s="14" t="s">
        <v>562</v>
      </c>
      <c r="B24" s="14"/>
      <c r="C24" s="14"/>
      <c r="D24" s="14"/>
      <c r="E24" s="3" t="str">
        <f aca="false">COUNTIF(E4:E23,"Correct")&amp;"/20"</f>
        <v>0/20</v>
      </c>
    </row>
  </sheetData>
  <mergeCells count="3">
    <mergeCell ref="A1:J1"/>
    <mergeCell ref="A2:J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2026-05-10T10:32:13Z</dcterms:created>
  <dc:creator>openpyxl</dc:creator>
  <dc:description/>
  <dc:language>en-US</dc:language>
  <cp:lastModifiedBy/>
  <dcterms:modified xsi:type="dcterms:W3CDTF">2026-05-10T10:32:13Z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